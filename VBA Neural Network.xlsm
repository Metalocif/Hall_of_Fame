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mon\OneDrive\Documents\Cours\Code\"/>
    </mc:Choice>
  </mc:AlternateContent>
  <xr:revisionPtr revIDLastSave="0" documentId="13_ncr:1_{819F35F1-1FEA-4FEF-AFB4-A2203AD0BE05}" xr6:coauthVersionLast="47" xr6:coauthVersionMax="47" xr10:uidLastSave="{00000000-0000-0000-0000-000000000000}"/>
  <bookViews>
    <workbookView xWindow="-108" yWindow="-108" windowWidth="23256" windowHeight="12576" activeTab="3" xr2:uid="{4C1B0657-8C49-47FB-954F-F828733733E6}"/>
  </bookViews>
  <sheets>
    <sheet name="Test" sheetId="1" r:id="rId1"/>
    <sheet name="Titanic Dataset" sheetId="2" r:id="rId2"/>
    <sheet name="Titanic Dataset (Binary only)" sheetId="4" r:id="rId3"/>
    <sheet name="Initial Titanic Dataset" sheetId="3" r:id="rId4"/>
  </sheets>
  <functionGroups builtInGroupCount="19"/>
  <definedNames>
    <definedName name="_xlnm._FilterDatabase" localSheetId="1" hidden="1">'Titanic Dataset'!$A$1:$G$348</definedName>
    <definedName name="_xlnm._FilterDatabase" localSheetId="2" hidden="1">'Titanic Dataset (Binary only)'!$A$1:$C$348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" i="4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" i="2"/>
  <c r="C17" i="1"/>
  <c r="D17" i="1"/>
  <c r="C18" i="1"/>
  <c r="D18" i="1"/>
  <c r="C19" i="1"/>
  <c r="D19" i="1"/>
  <c r="C20" i="1"/>
  <c r="D20" i="1"/>
  <c r="C21" i="1"/>
  <c r="D21" i="1"/>
  <c r="C22" i="1"/>
  <c r="D22" i="1"/>
  <c r="B18" i="1"/>
  <c r="B19" i="1"/>
  <c r="B20" i="1"/>
  <c r="B21" i="1"/>
  <c r="B22" i="1"/>
  <c r="B17" i="1"/>
</calcChain>
</file>

<file path=xl/sharedStrings.xml><?xml version="1.0" encoding="utf-8"?>
<sst xmlns="http://schemas.openxmlformats.org/spreadsheetml/2006/main" count="1563" uniqueCount="623">
  <si>
    <t>Sex</t>
  </si>
  <si>
    <t>Glasses</t>
  </si>
  <si>
    <t>fit</t>
  </si>
  <si>
    <t>Sports</t>
  </si>
  <si>
    <t>Y</t>
  </si>
  <si>
    <t>X</t>
  </si>
  <si>
    <t>Outputs</t>
  </si>
  <si>
    <t>Weights</t>
  </si>
  <si>
    <t>Random Variables 3 layers</t>
  </si>
  <si>
    <t>Perfect Correlation 3 layers</t>
  </si>
  <si>
    <t>Random Rouded Variables 3 layers</t>
  </si>
  <si>
    <t>PassengerId</t>
  </si>
  <si>
    <t>Age</t>
  </si>
  <si>
    <t>Fare</t>
  </si>
  <si>
    <t>Cabin</t>
  </si>
  <si>
    <t>Embarked</t>
  </si>
  <si>
    <t>Survived</t>
  </si>
  <si>
    <t>Pclass</t>
  </si>
  <si>
    <t>Name</t>
  </si>
  <si>
    <t>SibSp</t>
  </si>
  <si>
    <t>Parch</t>
  </si>
  <si>
    <t>Ticket</t>
  </si>
  <si>
    <t>Kelly, Mr. James</t>
  </si>
  <si>
    <t>male</t>
  </si>
  <si>
    <t>Q</t>
  </si>
  <si>
    <t>Wilkes, Mrs. James (Ellen Needs)</t>
  </si>
  <si>
    <t>female</t>
  </si>
  <si>
    <t>S</t>
  </si>
  <si>
    <t>Myles, Mr. Thomas Francis</t>
  </si>
  <si>
    <t>Wirz, Mr. Albert</t>
  </si>
  <si>
    <t>Hirvonen, Mrs. Alexander (Helga E Lindqvist)</t>
  </si>
  <si>
    <t>Svensson, Mr. Johan Cervin</t>
  </si>
  <si>
    <t>Connolly, Miss. Kate</t>
  </si>
  <si>
    <t>Caldwell, Mr. Albert Francis</t>
  </si>
  <si>
    <t>Abrahim, Mrs. Joseph (Sophie Halaut Easu)</t>
  </si>
  <si>
    <t>C</t>
  </si>
  <si>
    <t>Davies, Mr. John Samuel</t>
  </si>
  <si>
    <t>A/4 48871</t>
  </si>
  <si>
    <t>Ilieff, Mr. Ylio</t>
  </si>
  <si>
    <t>Jones, Mr. Charles Cresson</t>
  </si>
  <si>
    <t>Snyder, Mrs. John Pillsbury (Nelle Stevenson)</t>
  </si>
  <si>
    <t>B45</t>
  </si>
  <si>
    <t>Howard, Mr. Benjamin</t>
  </si>
  <si>
    <t>Chaffee, Mrs. Herbert Fuller (Carrie Constance Toogood)</t>
  </si>
  <si>
    <t>W.E.P. 5734</t>
  </si>
  <si>
    <t>E31</t>
  </si>
  <si>
    <t>del Carlo, Mrs. Sebastiano (Argenia Genovesi)</t>
  </si>
  <si>
    <t>SC/PARIS 2167</t>
  </si>
  <si>
    <t>Keane, Mr. Daniel</t>
  </si>
  <si>
    <t>Assaf, Mr. Gerios</t>
  </si>
  <si>
    <t>Ilmakangas, Miss. Ida Livija</t>
  </si>
  <si>
    <t>STON/O2. 3101270</t>
  </si>
  <si>
    <t>Assaf Khalil, Mrs. Mariana (Miriam")"</t>
  </si>
  <si>
    <t>Rothschild, Mr. Martin</t>
  </si>
  <si>
    <t>PC 17603</t>
  </si>
  <si>
    <t>Olsen, Master. Artur Karl</t>
  </si>
  <si>
    <t>C 17368</t>
  </si>
  <si>
    <t>Flegenheim, Mrs. Alfred (Antoinette)</t>
  </si>
  <si>
    <t>PC 17598</t>
  </si>
  <si>
    <t>Williams, Mr. Richard Norris II</t>
  </si>
  <si>
    <t>PC 17597</t>
  </si>
  <si>
    <t>Ryerson, Mrs. Arthur Larned (Emily Maria Borie)</t>
  </si>
  <si>
    <t>PC 17608</t>
  </si>
  <si>
    <t>B57 B59 B63 B66</t>
  </si>
  <si>
    <t>Robins, Mr. Alexander A</t>
  </si>
  <si>
    <t>A/5. 3337</t>
  </si>
  <si>
    <t>Ostby, Miss. Helene Ragnhild</t>
  </si>
  <si>
    <t>B36</t>
  </si>
  <si>
    <t>Daher, Mr. Shedid</t>
  </si>
  <si>
    <t>Brady, Mr. John Bertram</t>
  </si>
  <si>
    <t>A21</t>
  </si>
  <si>
    <t>Samaan, Mr. Elias</t>
  </si>
  <si>
    <t>Louch, Mr. Charles Alexander</t>
  </si>
  <si>
    <t>SC/AH 3085</t>
  </si>
  <si>
    <t>Jefferys, Mr. Clifford Thomas</t>
  </si>
  <si>
    <t>C.A. 31029</t>
  </si>
  <si>
    <t>Dean, Mrs. Bertram (Eva Georgetta Light)</t>
  </si>
  <si>
    <t>C.A. 2315</t>
  </si>
  <si>
    <t>Johnston, Mrs. Andrew G (Elizabeth Lily" Watson)"</t>
  </si>
  <si>
    <t>W./C. 6607</t>
  </si>
  <si>
    <t>Mock, Mr. Philipp Edmund</t>
  </si>
  <si>
    <t>C78</t>
  </si>
  <si>
    <t>Katavelas, Mr. Vassilios (Catavelas Vassilios")"</t>
  </si>
  <si>
    <t>Roth, Miss. Sarah A</t>
  </si>
  <si>
    <t>Cacic, Miss. Manda</t>
  </si>
  <si>
    <t>Sap, Mr. Julius</t>
  </si>
  <si>
    <t>Hee, Mr. Ling</t>
  </si>
  <si>
    <t>Karun, Mr. Franz</t>
  </si>
  <si>
    <t>Franklin, Mr. Thomas Parham</t>
  </si>
  <si>
    <t>D34</t>
  </si>
  <si>
    <t>Goldsmith, Mr. Nathan</t>
  </si>
  <si>
    <t>SOTON/O.Q. 3101263</t>
  </si>
  <si>
    <t>Corbett, Mrs. Walter H (Irene Colvin)</t>
  </si>
  <si>
    <t>Kimball, Mrs. Edwin Nelson Jr (Gertrude Parsons)</t>
  </si>
  <si>
    <t>D19</t>
  </si>
  <si>
    <t>Peltomaki, Mr. Nikolai Johannes</t>
  </si>
  <si>
    <t>STON/O 2. 3101291</t>
  </si>
  <si>
    <t>Chevre, Mr. Paul Romaine</t>
  </si>
  <si>
    <t>PC 17594</t>
  </si>
  <si>
    <t>A9</t>
  </si>
  <si>
    <t>Shaughnessy, Mr. Patrick</t>
  </si>
  <si>
    <t>Bucknell, Mrs. William Robert (Emma Eliza Ward)</t>
  </si>
  <si>
    <t>D15</t>
  </si>
  <si>
    <t>Coutts, Mrs. William (Winnie Minnie" Treanor)"</t>
  </si>
  <si>
    <t>C.A. 37671</t>
  </si>
  <si>
    <t>Smith, Mr. Lucien Philip</t>
  </si>
  <si>
    <t>C31</t>
  </si>
  <si>
    <t>Pulbaum, Mr. Franz</t>
  </si>
  <si>
    <t>SC/PARIS 2168</t>
  </si>
  <si>
    <t>Hocking, Miss. Ellen Nellie""</t>
  </si>
  <si>
    <t>Fortune, Miss. Ethel Flora</t>
  </si>
  <si>
    <t>C23 C25 C27</t>
  </si>
  <si>
    <t>Mangiavacchi, Mr. Serafino Emilio</t>
  </si>
  <si>
    <t>SC/A.3 2861</t>
  </si>
  <si>
    <t>Rice, Master. Albert</t>
  </si>
  <si>
    <t>Cor, Mr. Bartol</t>
  </si>
  <si>
    <t>Abelseth, Mr. Olaus Jorgensen</t>
  </si>
  <si>
    <t>F G63</t>
  </si>
  <si>
    <t>Davison, Mr. Thomas Henry</t>
  </si>
  <si>
    <t>Chaudanson, Miss. Victorine</t>
  </si>
  <si>
    <t>B61</t>
  </si>
  <si>
    <t>Dika, Mr. Mirko</t>
  </si>
  <si>
    <t>McCrae, Mr. Arthur Gordon</t>
  </si>
  <si>
    <t>Bjorklund, Mr. Ernst Herbert</t>
  </si>
  <si>
    <t>Bradley, Miss. Bridget Delia</t>
  </si>
  <si>
    <t>Ryerson, Master. John Borie</t>
  </si>
  <si>
    <t>Corey, Mrs. Percy C (Mary Phyllis Elizabeth Miller)</t>
  </si>
  <si>
    <t>F.C.C. 13534</t>
  </si>
  <si>
    <t>Burns, Miss. Mary Delia</t>
  </si>
  <si>
    <t>Moore, Mr. Clarence Bloomfield</t>
  </si>
  <si>
    <t>Tucker, Mr. Gilbert Milligan Jr</t>
  </si>
  <si>
    <t>C53</t>
  </si>
  <si>
    <t>Fortune, Mrs. Mark (Mary McDougald)</t>
  </si>
  <si>
    <t>Mulvihill, Miss. Bertha E</t>
  </si>
  <si>
    <t>Minkoff, Mr. Lazar</t>
  </si>
  <si>
    <t>Nieminen, Miss. Manta Josefina</t>
  </si>
  <si>
    <t>Ovies y Rodriguez, Mr. Servando</t>
  </si>
  <si>
    <t>PC 17562</t>
  </si>
  <si>
    <t>D43</t>
  </si>
  <si>
    <t>Geiger, Miss. Amalie</t>
  </si>
  <si>
    <t>C130</t>
  </si>
  <si>
    <t>Keeping, Mr. Edwin</t>
  </si>
  <si>
    <t>C132</t>
  </si>
  <si>
    <t>Miles, Mr. Frank</t>
  </si>
  <si>
    <t>Cornell, Mrs. Robert Clifford (Malvina Helen Lamson)</t>
  </si>
  <si>
    <t>C101</t>
  </si>
  <si>
    <t>Aldworth, Mr. Charles Augustus</t>
  </si>
  <si>
    <t>Doyle, Miss. Elizabeth</t>
  </si>
  <si>
    <t>Boulos, Master. Akar</t>
  </si>
  <si>
    <t>Straus, Mr. Isidor</t>
  </si>
  <si>
    <t>PC 17483</t>
  </si>
  <si>
    <t>C55 C57</t>
  </si>
  <si>
    <t>Case, Mr. Howard Brown</t>
  </si>
  <si>
    <t>Demetri, Mr. Marinko</t>
  </si>
  <si>
    <t>Lamb, Mr. John Joseph</t>
  </si>
  <si>
    <t>Khalil, Mr. Betros</t>
  </si>
  <si>
    <t>Barry, Miss. Julia</t>
  </si>
  <si>
    <t>Badman, Miss. Emily Louisa</t>
  </si>
  <si>
    <t>A/4 31416</t>
  </si>
  <si>
    <t>O'Donoghue, Ms. Bridget</t>
  </si>
  <si>
    <t>Wells, Master. Ralph Lester</t>
  </si>
  <si>
    <t>Dyker, Mrs. Adolf Fredrik (Anna Elisabeth Judith Andersson)</t>
  </si>
  <si>
    <t>Pedersen, Mr. Olaf</t>
  </si>
  <si>
    <t>Davidson, Mrs. Thornton (Orian Hays)</t>
  </si>
  <si>
    <t>F.C. 12750</t>
  </si>
  <si>
    <t>B71</t>
  </si>
  <si>
    <t>Guest, Mr. Robert</t>
  </si>
  <si>
    <t>Birnbaum, Mr. Jakob</t>
  </si>
  <si>
    <t>Tenglin, Mr. Gunnar Isidor</t>
  </si>
  <si>
    <t>Cavendish, Mrs. Tyrell William (Julia Florence Siegel)</t>
  </si>
  <si>
    <t>C46</t>
  </si>
  <si>
    <t>Makinen, Mr. Kalle Edvard</t>
  </si>
  <si>
    <t>STON/O 2. 3101268</t>
  </si>
  <si>
    <t>Braf, Miss. Elin Ester Maria</t>
  </si>
  <si>
    <t>Nancarrow, Mr. William Henry</t>
  </si>
  <si>
    <t>A./5. 3338</t>
  </si>
  <si>
    <t>Stengel, Mrs. Charles Emil Henry (Annie May Morris)</t>
  </si>
  <si>
    <t>C116</t>
  </si>
  <si>
    <t>Weisz, Mr. Leopold</t>
  </si>
  <si>
    <t>Foley, Mr. William</t>
  </si>
  <si>
    <t>Johansson Palmquist, Mr. Oskar Leander</t>
  </si>
  <si>
    <t>Thomas, Mrs. Alexander (Thamine Thelma")"</t>
  </si>
  <si>
    <t>Holthen, Mr. Johan Martin</t>
  </si>
  <si>
    <t>C 4001</t>
  </si>
  <si>
    <t>Buckley, Mr. Daniel</t>
  </si>
  <si>
    <t>Ryan, Mr. Edward</t>
  </si>
  <si>
    <t>Willer, Mr. Aaron (Abi Weller")"</t>
  </si>
  <si>
    <t>Swane, Mr. George</t>
  </si>
  <si>
    <t>F</t>
  </si>
  <si>
    <t>Stanton, Mr. Samuel Ward</t>
  </si>
  <si>
    <t>Shine, Miss. Ellen Natalia</t>
  </si>
  <si>
    <t>Evans, Miss. Edith Corse</t>
  </si>
  <si>
    <t>PC 17531</t>
  </si>
  <si>
    <t>A29</t>
  </si>
  <si>
    <t>Buckley, Miss. Katherine</t>
  </si>
  <si>
    <t>Straus, Mrs. Isidor (Rosalie Ida Blun)</t>
  </si>
  <si>
    <t>Chronopoulos, Mr. Demetrios</t>
  </si>
  <si>
    <t>Thomas, Mr. John</t>
  </si>
  <si>
    <t>Sandstrom, Miss. Beatrice Irene</t>
  </si>
  <si>
    <t>PP 9549</t>
  </si>
  <si>
    <t>G6</t>
  </si>
  <si>
    <t>Beattie, Mr. Thomson</t>
  </si>
  <si>
    <t>C6</t>
  </si>
  <si>
    <t>Chapman, Mrs. John Henry (Sara Elizabeth Lawry)</t>
  </si>
  <si>
    <t>SC/AH 29037</t>
  </si>
  <si>
    <t>Watt, Miss. Bertha J</t>
  </si>
  <si>
    <t>C.A. 33595</t>
  </si>
  <si>
    <t>Kiernan, Mr. John</t>
  </si>
  <si>
    <t>Schabert, Mrs. Paul (Emma Mock)</t>
  </si>
  <si>
    <t>C28</t>
  </si>
  <si>
    <t>Carver, Mr. Alfred John</t>
  </si>
  <si>
    <t>Kennedy, Mr. John</t>
  </si>
  <si>
    <t>Cribb, Miss. Laura Alice</t>
  </si>
  <si>
    <t>Brobeck, Mr. Karl Rudolf</t>
  </si>
  <si>
    <t>McCoy, Miss. Alicia</t>
  </si>
  <si>
    <t>Bowenur, Mr. Solomon</t>
  </si>
  <si>
    <t>Petersen, Mr. Marius</t>
  </si>
  <si>
    <t>Spinner, Mr. Henry John</t>
  </si>
  <si>
    <t>STON/OQ. 369943</t>
  </si>
  <si>
    <t>Gracie, Col. Archibald IV</t>
  </si>
  <si>
    <t>C51</t>
  </si>
  <si>
    <t>Lefebre, Mrs. Frank (Frances)</t>
  </si>
  <si>
    <t>Thomas, Mr. Charles P</t>
  </si>
  <si>
    <t>Dintcheff, Mr. Valtcho</t>
  </si>
  <si>
    <t>Carlsson, Mr. Carl Robert</t>
  </si>
  <si>
    <t>Zakarian, Mr. Mapriededer</t>
  </si>
  <si>
    <t>Schmidt, Mr. August</t>
  </si>
  <si>
    <t>Drapkin, Miss. Jennie</t>
  </si>
  <si>
    <t>SOTON/OQ 392083</t>
  </si>
  <si>
    <t>Goodwin, Mr. Charles Frederick</t>
  </si>
  <si>
    <t>CA 2144</t>
  </si>
  <si>
    <t>Goodwin, Miss. Jessie Allis</t>
  </si>
  <si>
    <t>Daniels, Miss. Sarah</t>
  </si>
  <si>
    <t>Ryerson, Mr. Arthur Larned</t>
  </si>
  <si>
    <t>Beauchamp, Mr. Henry James</t>
  </si>
  <si>
    <t>Lindeberg-Lind, Mr. Erik Gustaf (Mr Edward Lingrey")"</t>
  </si>
  <si>
    <t>Vander Planke, Mr. Julius</t>
  </si>
  <si>
    <t>Hilliard, Mr. Herbert Henry</t>
  </si>
  <si>
    <t>E46</t>
  </si>
  <si>
    <t>Davies, Mr. Evan</t>
  </si>
  <si>
    <t>SC/A4 23568</t>
  </si>
  <si>
    <t>Crafton, Mr. John Bertram</t>
  </si>
  <si>
    <t>Lahtinen, Rev. William</t>
  </si>
  <si>
    <t>Earnshaw, Mrs. Boulton (Olive Potter)</t>
  </si>
  <si>
    <t>C54</t>
  </si>
  <si>
    <t>Matinoff, Mr. Nicola</t>
  </si>
  <si>
    <t>Storey, Mr. Thomas</t>
  </si>
  <si>
    <t>Klasen, Mrs. (Hulda Kristina Eugenia Lofqvist)</t>
  </si>
  <si>
    <t>Asplund, Master. Filip Oscar</t>
  </si>
  <si>
    <t>Duquemin, Mr. Joseph</t>
  </si>
  <si>
    <t>S.O./P.P. 752</t>
  </si>
  <si>
    <t>Bird, Miss. Ellen</t>
  </si>
  <si>
    <t>C97</t>
  </si>
  <si>
    <t>Lundin, Miss. Olga Elida</t>
  </si>
  <si>
    <t>Borebank, Mr. John James</t>
  </si>
  <si>
    <t>D22</t>
  </si>
  <si>
    <t>Peacock, Mrs. Benjamin (Edith Nile)</t>
  </si>
  <si>
    <t>SOTON/O.Q. 3101315</t>
  </si>
  <si>
    <t>Smyth, Miss. Julia</t>
  </si>
  <si>
    <t>Touma, Master. Georges Youssef</t>
  </si>
  <si>
    <t>Wright, Miss. Marion</t>
  </si>
  <si>
    <t>Pearce, Mr. Ernest</t>
  </si>
  <si>
    <t>Peruschitz, Rev. Joseph Maria</t>
  </si>
  <si>
    <t>Kink-Heilmann, Mrs. Anton (Luise Heilmann)</t>
  </si>
  <si>
    <t>Brandeis, Mr. Emil</t>
  </si>
  <si>
    <t>PC 17591</t>
  </si>
  <si>
    <t>B10</t>
  </si>
  <si>
    <t>Ford, Mr. Edward Watson</t>
  </si>
  <si>
    <t>W./C. 6608</t>
  </si>
  <si>
    <t>Cassebeer, Mrs. Henry Arthur Jr (Eleanor Genevieve Fosdick)</t>
  </si>
  <si>
    <t>Hellstrom, Miss. Hilda Maria</t>
  </si>
  <si>
    <t>Lithman, Mr. Simon</t>
  </si>
  <si>
    <t>S.O./P.P. 251</t>
  </si>
  <si>
    <t>Zakarian, Mr. Ortin</t>
  </si>
  <si>
    <t>Dyker, Mr. Adolf Fredrik</t>
  </si>
  <si>
    <t>Torfa, Mr. Assad</t>
  </si>
  <si>
    <t>Asplund, Mr. Carl Oscar Vilhelm Gustafsson</t>
  </si>
  <si>
    <t>Brown, Miss. Edith Eileen</t>
  </si>
  <si>
    <t>Sincock, Miss. Maude</t>
  </si>
  <si>
    <t>C.A. 33112</t>
  </si>
  <si>
    <t>Stengel, Mr. Charles Emil Henry</t>
  </si>
  <si>
    <t>Becker, Mrs. Allen Oliver (Nellie E Baumgardner)</t>
  </si>
  <si>
    <t>F4</t>
  </si>
  <si>
    <t>Compton, Mrs. Alexander Taylor (Mary Eliza Ingersoll)</t>
  </si>
  <si>
    <t>PC 17756</t>
  </si>
  <si>
    <t>E45</t>
  </si>
  <si>
    <t>McCrie, Mr. James Matthew</t>
  </si>
  <si>
    <t>Compton, Mr. Alexander Taylor Jr</t>
  </si>
  <si>
    <t>E52</t>
  </si>
  <si>
    <t>Marvin, Mrs. Daniel Warner (Mary Graham Carmichael Farquarson)</t>
  </si>
  <si>
    <t>D30</t>
  </si>
  <si>
    <t>Lane, Mr. Patrick</t>
  </si>
  <si>
    <t>Douglas, Mrs. Frederick Charles (Mary Helene Baxter)</t>
  </si>
  <si>
    <t>PC 17558</t>
  </si>
  <si>
    <t>B58 B60</t>
  </si>
  <si>
    <t>Maybery, Mr. Frank Hubert</t>
  </si>
  <si>
    <t>Phillips, Miss. Alice Frances Louisa</t>
  </si>
  <si>
    <t>S.O./P.P. 2</t>
  </si>
  <si>
    <t>Davies, Mr. Joseph</t>
  </si>
  <si>
    <t>A/4 48873</t>
  </si>
  <si>
    <t>Sage, Miss. Ada</t>
  </si>
  <si>
    <t>CA. 2343</t>
  </si>
  <si>
    <t>Veal, Mr. James</t>
  </si>
  <si>
    <t>Angle, Mr. William A</t>
  </si>
  <si>
    <t>Salomon, Mr. Abraham L</t>
  </si>
  <si>
    <t>van Billiard, Master. Walter John</t>
  </si>
  <si>
    <t>A/5. 851</t>
  </si>
  <si>
    <t>Lingane, Mr. John</t>
  </si>
  <si>
    <t>Drew, Master. Marshall Brines</t>
  </si>
  <si>
    <t>Karlsson, Mr. Julius Konrad Eugen</t>
  </si>
  <si>
    <t>Spedden, Master. Robert Douglas</t>
  </si>
  <si>
    <t>E34</t>
  </si>
  <si>
    <t>Nilsson, Miss. Berta Olivia</t>
  </si>
  <si>
    <t>Baimbrigge, Mr. Charles Robert</t>
  </si>
  <si>
    <t>C.A. 31030</t>
  </si>
  <si>
    <t>Rasmussen, Mrs. (Lena Jacobsen Solvang)</t>
  </si>
  <si>
    <t>Murphy, Miss. Nora</t>
  </si>
  <si>
    <t>Danbom, Master. Gilbert Sigvard Emanuel</t>
  </si>
  <si>
    <t>Astor, Col. John Jacob</t>
  </si>
  <si>
    <t>PC 17757</t>
  </si>
  <si>
    <t>C62 C64</t>
  </si>
  <si>
    <t>Quick, Miss. Winifred Vera</t>
  </si>
  <si>
    <t>Andrew, Mr. Frank Thomas</t>
  </si>
  <si>
    <t>C.A. 34050</t>
  </si>
  <si>
    <t>Omont, Mr. Alfred Fernand</t>
  </si>
  <si>
    <t>F.C. 12998</t>
  </si>
  <si>
    <t>McGowan, Miss. Katherine</t>
  </si>
  <si>
    <t>Collett, Mr. Sidney C Stuart</t>
  </si>
  <si>
    <t>Rosenbaum, Miss. Edith Louise</t>
  </si>
  <si>
    <t>PC 17613</t>
  </si>
  <si>
    <t>A11</t>
  </si>
  <si>
    <t>Delalic, Mr. Redjo</t>
  </si>
  <si>
    <t>Andersen, Mr. Albert Karvin</t>
  </si>
  <si>
    <t>Finoli, Mr. Luigi</t>
  </si>
  <si>
    <t>SOTON/O.Q. 3101308</t>
  </si>
  <si>
    <t>Deacon, Mr. Percy William</t>
  </si>
  <si>
    <t>S.O.C. 14879</t>
  </si>
  <si>
    <t>Howard, Mrs. Benjamin (Ellen Truelove Arman)</t>
  </si>
  <si>
    <t>Andersson, Miss. Ida Augusta Margareta</t>
  </si>
  <si>
    <t>Head, Mr. Christopher</t>
  </si>
  <si>
    <t>B11</t>
  </si>
  <si>
    <t>Mahon, Miss. Bridget Delia</t>
  </si>
  <si>
    <t>Wick, Mr. George Dennick</t>
  </si>
  <si>
    <t>Widener, Mrs. George Dunton (Eleanor Elkins)</t>
  </si>
  <si>
    <t>C80</t>
  </si>
  <si>
    <t>Thomson, Mr. Alexander Morrison</t>
  </si>
  <si>
    <t>Duran y More, Miss. Florentina</t>
  </si>
  <si>
    <t>SC/PARIS 2148</t>
  </si>
  <si>
    <t>Reynolds, Mr. Harold J</t>
  </si>
  <si>
    <t>Cook, Mrs. (Selena Rogers)</t>
  </si>
  <si>
    <t>W./C. 14266</t>
  </si>
  <si>
    <t>F33</t>
  </si>
  <si>
    <t>Karlsson, Mr. Einar Gervasius</t>
  </si>
  <si>
    <t>Candee, Mrs. Edward (Helen Churchill Hungerford)</t>
  </si>
  <si>
    <t>PC 17606</t>
  </si>
  <si>
    <t>Moubarek, Mrs. George (Omine Amenia" Alexander)"</t>
  </si>
  <si>
    <t>Asplund, Mr. Johan Charles</t>
  </si>
  <si>
    <t>McNeill, Miss. Bridget</t>
  </si>
  <si>
    <t>Everett, Mr. Thomas James</t>
  </si>
  <si>
    <t>C.A. 6212</t>
  </si>
  <si>
    <t>Hocking, Mr. Samuel James Metcalfe</t>
  </si>
  <si>
    <t>Sweet, Mr. George Frederick</t>
  </si>
  <si>
    <t>Willard, Miss. Constance</t>
  </si>
  <si>
    <t>Wiklund, Mr. Karl Johan</t>
  </si>
  <si>
    <t>Linehan, Mr. Michael</t>
  </si>
  <si>
    <t>Cumings, Mr. John Bradley</t>
  </si>
  <si>
    <t>PC 17599</t>
  </si>
  <si>
    <t>C85</t>
  </si>
  <si>
    <t>Vendel, Mr. Olof Edvin</t>
  </si>
  <si>
    <t>Warren, Mr. Frank Manley</t>
  </si>
  <si>
    <t>D37</t>
  </si>
  <si>
    <t>Baccos, Mr. Raffull</t>
  </si>
  <si>
    <t>Hiltunen, Miss. Marta</t>
  </si>
  <si>
    <t>Douglas, Mrs. Walter Donald (Mahala Dutton)</t>
  </si>
  <si>
    <t>PC 17761</t>
  </si>
  <si>
    <t>C86</t>
  </si>
  <si>
    <t>Lindstrom, Mrs. Carl Johan (Sigrid Posse)</t>
  </si>
  <si>
    <t>Christy, Mrs. (Alice Frances)</t>
  </si>
  <si>
    <t>Spedden, Mr. Frederic Oakley</t>
  </si>
  <si>
    <t>Hyman, Mr. Abraham</t>
  </si>
  <si>
    <t>Johnston, Master. William Arthur Willie""</t>
  </si>
  <si>
    <t>Kenyon, Mr. Frederick R</t>
  </si>
  <si>
    <t>D21</t>
  </si>
  <si>
    <t>Karnes, Mrs. J Frank (Claire Bennett)</t>
  </si>
  <si>
    <t>Drew, Mr. James Vivian</t>
  </si>
  <si>
    <t>Hold, Mrs. Stephen (Annie Margaret Hill)</t>
  </si>
  <si>
    <t>Khalil, Mrs. Betros (Zahie Maria" Elias)"</t>
  </si>
  <si>
    <t>West, Miss. Barbara J</t>
  </si>
  <si>
    <t>C.A. 34651</t>
  </si>
  <si>
    <t>Abrahamsson, Mr. Abraham August Johannes</t>
  </si>
  <si>
    <t>SOTON/O2 3101284</t>
  </si>
  <si>
    <t>Clark, Mr. Walter Miller</t>
  </si>
  <si>
    <t>C89</t>
  </si>
  <si>
    <t>Salander, Mr. Karl Johan</t>
  </si>
  <si>
    <t>Wenzel, Mr. Linhart</t>
  </si>
  <si>
    <t>MacKay, Mr. George William</t>
  </si>
  <si>
    <t>C.A. 42795</t>
  </si>
  <si>
    <t>Mahon, Mr. John</t>
  </si>
  <si>
    <t>AQ/4 3130</t>
  </si>
  <si>
    <t>Niklasson, Mr. Samuel</t>
  </si>
  <si>
    <t>Bentham, Miss. Lilian W</t>
  </si>
  <si>
    <t>Midtsjo, Mr. Karl Albert</t>
  </si>
  <si>
    <t>de Messemaeker, Mr. Guillaume Joseph</t>
  </si>
  <si>
    <t>Nilsson, Mr. August Ferdinand</t>
  </si>
  <si>
    <t>Wells, Mrs. Arthur Henry (Addie" Dart Trevaskis)"</t>
  </si>
  <si>
    <t>Klasen, Miss. Gertrud Emilia</t>
  </si>
  <si>
    <t>Portaluppi, Mr. Emilio Ilario Giuseppe</t>
  </si>
  <si>
    <t>C.A. 34644</t>
  </si>
  <si>
    <t>Lyntakoff, Mr. Stanko</t>
  </si>
  <si>
    <t>Chisholm, Mr. Roderick Robert Crispin</t>
  </si>
  <si>
    <t>Warren, Mr. Charles William</t>
  </si>
  <si>
    <t>C.A. 49867</t>
  </si>
  <si>
    <t>Howard, Miss. May Elizabeth</t>
  </si>
  <si>
    <t>A. 2. 39186</t>
  </si>
  <si>
    <t>Pokrnic, Mr. Mate</t>
  </si>
  <si>
    <t>McCaffry, Mr. Thomas Francis</t>
  </si>
  <si>
    <t>Fox, Mr. Patrick</t>
  </si>
  <si>
    <t>Clark, Mrs. Walter Miller (Virginia McDowell)</t>
  </si>
  <si>
    <t>Lennon, Miss. Mary</t>
  </si>
  <si>
    <t>Saade, Mr. Jean Nassr</t>
  </si>
  <si>
    <t xml:space="preserve">Bryhl, Miss. Dagmar Jenny Ingeborg </t>
  </si>
  <si>
    <t>Parker, Mr. Clifford Richard</t>
  </si>
  <si>
    <t>SC 14888</t>
  </si>
  <si>
    <t>Faunthorpe, Mr. Harry</t>
  </si>
  <si>
    <t>Ware, Mr. John James</t>
  </si>
  <si>
    <t>CA 31352</t>
  </si>
  <si>
    <t>Oxenham, Mr. Percy Thomas</t>
  </si>
  <si>
    <t>W./C. 14260</t>
  </si>
  <si>
    <t>Oreskovic, Miss. Jelka</t>
  </si>
  <si>
    <t>Peacock, Master. Alfred Edward</t>
  </si>
  <si>
    <t>Fleming, Miss. Honora</t>
  </si>
  <si>
    <t>Touma, Miss. Maria Youssef</t>
  </si>
  <si>
    <t>Rosblom, Miss. Salli Helena</t>
  </si>
  <si>
    <t>Dennis, Mr. William</t>
  </si>
  <si>
    <t>A/5 21175</t>
  </si>
  <si>
    <t>Franklin, Mr. Charles (Charles Fardon)</t>
  </si>
  <si>
    <t>SOTON/O.Q. 3101314</t>
  </si>
  <si>
    <t>Snyder, Mr. John Pillsbury</t>
  </si>
  <si>
    <t>Mardirosian, Mr. Sarkis</t>
  </si>
  <si>
    <t>F E46</t>
  </si>
  <si>
    <t>Ford, Mr. Arthur</t>
  </si>
  <si>
    <t>A/5 1478</t>
  </si>
  <si>
    <t>Rheims, Mr. George Alexander Lucien</t>
  </si>
  <si>
    <t>PC 17607</t>
  </si>
  <si>
    <t>Daly, Miss. Margaret Marcella Maggie""</t>
  </si>
  <si>
    <t>Nasr, Mr. Mustafa</t>
  </si>
  <si>
    <t>Dodge, Dr. Washington</t>
  </si>
  <si>
    <t>A34</t>
  </si>
  <si>
    <t>Wittevrongel, Mr. Camille</t>
  </si>
  <si>
    <t>Angheloff, Mr. Minko</t>
  </si>
  <si>
    <t>Laroche, Miss. Louise</t>
  </si>
  <si>
    <t>SC/Paris 2123</t>
  </si>
  <si>
    <t>Samaan, Mr. Hanna</t>
  </si>
  <si>
    <t>Loring, Mr. Joseph Holland</t>
  </si>
  <si>
    <t>Johansson, Mr. Nils</t>
  </si>
  <si>
    <t>Olsson, Mr. Oscar Wilhelm</t>
  </si>
  <si>
    <t>Malachard, Mr. Noel</t>
  </si>
  <si>
    <t>D</t>
  </si>
  <si>
    <t>Phillips, Mr. Escott Robert</t>
  </si>
  <si>
    <t>Pokrnic, Mr. Tome</t>
  </si>
  <si>
    <t>McCarthy, Miss. Catherine Katie""</t>
  </si>
  <si>
    <t>Crosby, Mrs. Edward Gifford (Catherine Elizabeth Halstead)</t>
  </si>
  <si>
    <t>B26</t>
  </si>
  <si>
    <t>Allison, Mr. Hudson Joshua Creighton</t>
  </si>
  <si>
    <t>C22 C26</t>
  </si>
  <si>
    <t>Aks, Master. Philip Frank</t>
  </si>
  <si>
    <t>Hays, Mr. Charles Melville</t>
  </si>
  <si>
    <t>B69</t>
  </si>
  <si>
    <t>Hansen, Mrs. Claus Peter (Jennie L Howard)</t>
  </si>
  <si>
    <t>Cacic, Mr. Jego Grga</t>
  </si>
  <si>
    <t>Vartanian, Mr. David</t>
  </si>
  <si>
    <t>Sadowitz, Mr. Harry</t>
  </si>
  <si>
    <t>LP 1588</t>
  </si>
  <si>
    <t>Carr, Miss. Jeannie</t>
  </si>
  <si>
    <t>White, Mrs. John Stuart (Ella Holmes)</t>
  </si>
  <si>
    <t>PC 17760</t>
  </si>
  <si>
    <t>C32</t>
  </si>
  <si>
    <t>Hagardon, Miss. Kate</t>
  </si>
  <si>
    <t>AQ/3. 30631</t>
  </si>
  <si>
    <t>Spencer, Mr. William Augustus</t>
  </si>
  <si>
    <t>PC 17569</t>
  </si>
  <si>
    <t>B78</t>
  </si>
  <si>
    <t>Rogers, Mr. Reginald Harry</t>
  </si>
  <si>
    <t>Jonsson, Mr. Nils Hilding</t>
  </si>
  <si>
    <t>Jefferys, Mr. Ernest Wilfred</t>
  </si>
  <si>
    <t>Andersson, Mr. Johan Samuel</t>
  </si>
  <si>
    <t>Krekorian, Mr. Neshan</t>
  </si>
  <si>
    <t>F E57</t>
  </si>
  <si>
    <t>Nesson, Mr. Israel</t>
  </si>
  <si>
    <t>F2</t>
  </si>
  <si>
    <t>Rowe, Mr. Alfred G</t>
  </si>
  <si>
    <t>Kreuchen, Miss. Emilie</t>
  </si>
  <si>
    <t>Assam, Mr. Ali</t>
  </si>
  <si>
    <t>SOTON/O.Q. 3101309</t>
  </si>
  <si>
    <t>Becker, Miss. Ruth Elizabeth</t>
  </si>
  <si>
    <t>Rosenshine, Mr. George (Mr George Thorne")"</t>
  </si>
  <si>
    <t>PC 17585</t>
  </si>
  <si>
    <t>Clarke, Mr. Charles Valentine</t>
  </si>
  <si>
    <t>Enander, Mr. Ingvar</t>
  </si>
  <si>
    <t xml:space="preserve">Davies, Mrs. John Morgan (Elizabeth Agnes Mary White) </t>
  </si>
  <si>
    <t>Dulles, Mr. William Crothers</t>
  </si>
  <si>
    <t>PC 17580</t>
  </si>
  <si>
    <t>A18</t>
  </si>
  <si>
    <t>Thomas, Mr. Tannous</t>
  </si>
  <si>
    <t>Nakid, Mrs. Said (Waika Mary" Mowad)"</t>
  </si>
  <si>
    <t>Cor, Mr. Ivan</t>
  </si>
  <si>
    <t>Maguire, Mr. John Edward</t>
  </si>
  <si>
    <t>C106</t>
  </si>
  <si>
    <t>de Brito, Mr. Jose Joaquim</t>
  </si>
  <si>
    <t>Elias, Mr. Joseph</t>
  </si>
  <si>
    <t>Denbury, Mr. Herbert</t>
  </si>
  <si>
    <t>Betros, Master. Seman</t>
  </si>
  <si>
    <t>Fillbrook, Mr. Joseph Charles</t>
  </si>
  <si>
    <t>C.A. 15185</t>
  </si>
  <si>
    <t>Lundstrom, Mr. Thure Edvin</t>
  </si>
  <si>
    <t>Sage, Mr. John George</t>
  </si>
  <si>
    <t>Cardeza, Mrs. James Warburton Martinez (Charlotte Wardle Drake)</t>
  </si>
  <si>
    <t>PC 17755</t>
  </si>
  <si>
    <t>B51 B53 B55</t>
  </si>
  <si>
    <t>van Billiard, Master. James William</t>
  </si>
  <si>
    <t>Abelseth, Miss. Karen Marie</t>
  </si>
  <si>
    <t>Botsford, Mr. William Hull</t>
  </si>
  <si>
    <t>Whabee, Mrs. George Joseph (Shawneene Abi-Saab)</t>
  </si>
  <si>
    <t>Giles, Mr. Ralph</t>
  </si>
  <si>
    <t>Walcroft, Miss. Nellie</t>
  </si>
  <si>
    <t>F.C.C. 13528</t>
  </si>
  <si>
    <t>Greenfield, Mrs. Leo David (Blanche Strouse)</t>
  </si>
  <si>
    <t>PC 17759</t>
  </si>
  <si>
    <t>D10 D12</t>
  </si>
  <si>
    <t>Stokes, Mr. Philip Joseph</t>
  </si>
  <si>
    <t>F.C.C. 13540</t>
  </si>
  <si>
    <t>Dibden, Mr. William</t>
  </si>
  <si>
    <t>Herman, Mr. Samuel</t>
  </si>
  <si>
    <t>Dean, Miss. Elizabeth Gladys Millvina""</t>
  </si>
  <si>
    <t>Julian, Mr. Henry Forbes</t>
  </si>
  <si>
    <t>E60</t>
  </si>
  <si>
    <t>Brown, Mrs. John Murray (Caroline Lane Lamson)</t>
  </si>
  <si>
    <t>Lockyer, Mr. Edward</t>
  </si>
  <si>
    <t>O'Keefe, Mr. Patrick</t>
  </si>
  <si>
    <t>Lindell, Mrs. Edvard Bengtsson (Elin Gerda Persson)</t>
  </si>
  <si>
    <t>Sage, Master. William Henry</t>
  </si>
  <si>
    <t>Mallet, Mrs. Albert (Antoinette Magnin)</t>
  </si>
  <si>
    <t>S.C./PARIS 2079</t>
  </si>
  <si>
    <t>Ware, Mrs. John James (Florence Louise Long)</t>
  </si>
  <si>
    <t>Strilic, Mr. Ivan</t>
  </si>
  <si>
    <t>Harder, Mrs. George Achilles (Dorothy Annan)</t>
  </si>
  <si>
    <t>E50</t>
  </si>
  <si>
    <t>Sage, Mrs. John (Annie Bullen)</t>
  </si>
  <si>
    <t>Caram, Mr. Joseph</t>
  </si>
  <si>
    <t>Riihivouri, Miss. Susanna Juhantytar Sanni""</t>
  </si>
  <si>
    <t>Gibson, Mrs. Leonard (Pauline C Boeson)</t>
  </si>
  <si>
    <t>Pallas y Castello, Mr. Emilio</t>
  </si>
  <si>
    <t>SC/PARIS 2147</t>
  </si>
  <si>
    <t>Giles, Mr. Edgar</t>
  </si>
  <si>
    <t>Wilson, Miss. Helen Alice</t>
  </si>
  <si>
    <t>E39 E41</t>
  </si>
  <si>
    <t>Ismay, Mr. Joseph Bruce</t>
  </si>
  <si>
    <t>B52 B54 B56</t>
  </si>
  <si>
    <t>Harbeck, Mr. William H</t>
  </si>
  <si>
    <t>Dodge, Mrs. Washington (Ruth Vidaver)</t>
  </si>
  <si>
    <t>Bowen, Miss. Grace Scott</t>
  </si>
  <si>
    <t>Kink, Miss. Maria</t>
  </si>
  <si>
    <t>Cotterill, Mr. Henry Harry""</t>
  </si>
  <si>
    <t>Hipkins, Mr. William Edward</t>
  </si>
  <si>
    <t>C39</t>
  </si>
  <si>
    <t>Asplund, Master. Carl Edgar</t>
  </si>
  <si>
    <t>O'Connor, Mr. Patrick</t>
  </si>
  <si>
    <t>Foley, Mr. Joseph</t>
  </si>
  <si>
    <t>Risien, Mrs. Samuel (Emma)</t>
  </si>
  <si>
    <t>McNamee, Mrs. Neal (Eileen O'Leary)</t>
  </si>
  <si>
    <t>Wheeler, Mr. Edwin Frederick""</t>
  </si>
  <si>
    <t>SC/PARIS 2159</t>
  </si>
  <si>
    <t>Herman, Miss. Kate</t>
  </si>
  <si>
    <t>Aronsson, Mr. Ernst Axel Algot</t>
  </si>
  <si>
    <t>Ashby, Mr. John</t>
  </si>
  <si>
    <t>Canavan, Mr. Patrick</t>
  </si>
  <si>
    <t>Palsson, Master. Paul Folke</t>
  </si>
  <si>
    <t>Payne, Mr. Vivian Ponsonby</t>
  </si>
  <si>
    <t>B24</t>
  </si>
  <si>
    <t>Lines, Mrs. Ernest H (Elizabeth Lindsey James)</t>
  </si>
  <si>
    <t>PC 17592</t>
  </si>
  <si>
    <t>D28</t>
  </si>
  <si>
    <t>Abbott, Master. Eugene Joseph</t>
  </si>
  <si>
    <t>C.A. 2673</t>
  </si>
  <si>
    <t>Gilbert, Mr. William</t>
  </si>
  <si>
    <t>C.A. 30769</t>
  </si>
  <si>
    <t>Kink-Heilmann, Mr. Anton</t>
  </si>
  <si>
    <t>Smith, Mrs. Lucien Philip (Mary Eloise Hughes)</t>
  </si>
  <si>
    <t>Colbert, Mr. Patrick</t>
  </si>
  <si>
    <t>Frolicher-Stehli, Mrs. Maxmillian (Margaretha Emerentia Stehli)</t>
  </si>
  <si>
    <t>B41</t>
  </si>
  <si>
    <t>Larsson-Rondberg, Mr. Edvard A</t>
  </si>
  <si>
    <t>Conlon, Mr. Thomas Henry</t>
  </si>
  <si>
    <t>Bonnell, Miss. Caroline</t>
  </si>
  <si>
    <t>C7</t>
  </si>
  <si>
    <t>Gale, Mr. Harry</t>
  </si>
  <si>
    <t>Gibson, Miss. Dorothy Winifred</t>
  </si>
  <si>
    <t>Carrau, Mr. Jose Pedro</t>
  </si>
  <si>
    <t>Frauenthal, Mr. Isaac Gerald</t>
  </si>
  <si>
    <t>D40</t>
  </si>
  <si>
    <t>Nourney, Mr. Alfred (Baron von Drachstedt")"</t>
  </si>
  <si>
    <t>SC/PARIS 2166</t>
  </si>
  <si>
    <t>D38</t>
  </si>
  <si>
    <t>Ware, Mr. William Jeffery</t>
  </si>
  <si>
    <t>Widener, Mr. George Dunton</t>
  </si>
  <si>
    <t>Riordan, Miss. Johanna Hannah""</t>
  </si>
  <si>
    <t>Peacock, Miss. Treasteall</t>
  </si>
  <si>
    <t>Naughton, Miss. Hannah</t>
  </si>
  <si>
    <t>Minahan, Mrs. William Edward (Lillian E Thorpe)</t>
  </si>
  <si>
    <t>Henriksson, Miss. Jenny Lovisa</t>
  </si>
  <si>
    <t>Spector, Mr. Woolf</t>
  </si>
  <si>
    <t>A.5. 3236</t>
  </si>
  <si>
    <t>Oliva y Ocana, Dona. Fermina</t>
  </si>
  <si>
    <t>PC 17758</t>
  </si>
  <si>
    <t>C105</t>
  </si>
  <si>
    <t>Saether, Mr. Simon Sivertsen</t>
  </si>
  <si>
    <t>SOTON/O.Q. 3101262</t>
  </si>
  <si>
    <t>Ware, Mr. Frederick</t>
  </si>
  <si>
    <t>Peter, Master. Michael J</t>
  </si>
  <si>
    <t>Pclass1</t>
  </si>
  <si>
    <t>Pclass2</t>
  </si>
  <si>
    <t>Output</t>
  </si>
  <si>
    <t>Perfect Correlation 3 layers (test)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</si>
</sst>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4" xfId="0" applyFill="1" applyBorder="1"/>
    <xf numFmtId="0" fontId="0" fillId="2" borderId="0" xfId="0" applyFill="1" applyBorder="1"/>
    <xf numFmtId="0" fontId="0" fillId="3" borderId="5" xfId="0" applyFill="1" applyBorder="1"/>
    <xf numFmtId="0" fontId="0" fillId="4" borderId="0" xfId="0" applyFill="1" applyBorder="1"/>
    <xf numFmtId="0" fontId="0" fillId="5" borderId="6" xfId="0" applyFill="1" applyBorder="1"/>
    <xf numFmtId="0" fontId="0" fillId="4" borderId="7" xfId="0" applyFill="1" applyBorder="1"/>
    <xf numFmtId="0" fontId="0" fillId="2" borderId="7" xfId="0" applyFill="1" applyBorder="1"/>
    <xf numFmtId="0" fontId="0" fillId="3" borderId="8" xfId="0" applyFill="1" applyBorder="1"/>
    <xf numFmtId="0" fontId="1" fillId="2" borderId="0" xfId="0" applyFont="1" applyFill="1" applyBorder="1"/>
    <xf numFmtId="0" fontId="1" fillId="3" borderId="5" xfId="0" applyFont="1" applyFill="1" applyBorder="1"/>
    <xf numFmtId="0" fontId="1" fillId="4" borderId="0" xfId="0" applyFont="1" applyFill="1" applyBorder="1"/>
    <xf numFmtId="0" fontId="0" fillId="6" borderId="0" xfId="0" applyFill="1"/>
    <xf numFmtId="0" fontId="0" fillId="7" borderId="0" xfId="0" applyFill="1"/>
    <xf numFmtId="0" fontId="1" fillId="4" borderId="0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2" fillId="2" borderId="0" xfId="0" applyFont="1" applyFill="1"/>
    <xf numFmtId="0" fontId="2" fillId="6" borderId="0" xfId="0" applyFont="1" applyFill="1"/>
    <xf numFmtId="0" fontId="0" fillId="8" borderId="0" xfId="0" applyFill="1"/>
    <xf numFmtId="0" fontId="0" fillId="9" borderId="0" xfId="0" applyFill="1"/>
    <xf numFmtId="0" fontId="2" fillId="3" borderId="0" xfId="0" applyFont="1" applyFill="1" applyAlignment="1">
      <alignment horizontal="center"/>
    </xf>
    <xf numFmtId="0" fontId="2" fillId="6" borderId="0" xfId="0" applyFont="1" applyFill="1" applyBorder="1"/>
    <xf numFmtId="0" fontId="1" fillId="8" borderId="0" xfId="0" applyFont="1" applyFill="1" applyBorder="1" applyAlignment="1">
      <alignment horizontal="center"/>
    </xf>
    <xf numFmtId="0" fontId="1" fillId="8" borderId="0" xfId="0" applyFont="1" applyFill="1" applyBorder="1"/>
    <xf numFmtId="0" fontId="0" fillId="8" borderId="0" xfId="0" applyFill="1" applyBorder="1"/>
    <xf numFmtId="0" fontId="0" fillId="8" borderId="7" xfId="0" applyFill="1" applyBorder="1"/>
    <xf numFmtId="0" fontId="1" fillId="9" borderId="0" xfId="0" applyFont="1" applyFill="1" applyBorder="1"/>
    <xf numFmtId="0" fontId="0" fillId="9" borderId="0" xfId="0" applyFill="1" applyBorder="1"/>
    <xf numFmtId="0" fontId="0" fillId="9" borderId="7" xfId="0" applyFill="1" applyBorder="1"/>
    <xf numFmtId="0" fontId="1" fillId="10" borderId="5" xfId="0" applyFont="1" applyFill="1" applyBorder="1"/>
    <xf numFmtId="0" fontId="0" fillId="10" borderId="5" xfId="0" applyFill="1" applyBorder="1"/>
    <xf numFmtId="0" fontId="0" fillId="10" borderId="8" xfId="0" applyFill="1" applyBorder="1"/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85ADB-283A-42F5-821E-7112AF460C9F}">
  <sheetPr codeName="Sheet1"/>
  <dimension ref="A1:F65"/>
  <sheetViews>
    <sheetView topLeftCell="A34" workbookViewId="0">
      <selection activeCell="H34" sqref="H34"/>
    </sheetView>
  </sheetViews>
  <sheetFormatPr defaultRowHeight="14.4" x14ac:dyDescent="0.3"/>
  <cols>
    <col min="1" max="1" width="15.77734375" style="4" bestFit="1" customWidth="1"/>
    <col min="2" max="4" width="8.88671875" style="3"/>
    <col min="5" max="5" width="8.88671875" style="1"/>
    <col min="6" max="6" width="8.88671875" style="2"/>
  </cols>
  <sheetData>
    <row r="1" spans="1:6" x14ac:dyDescent="0.3">
      <c r="A1" s="19" t="s">
        <v>8</v>
      </c>
      <c r="B1" s="20"/>
      <c r="C1" s="20"/>
      <c r="D1" s="20"/>
      <c r="E1" s="20"/>
      <c r="F1" s="21"/>
    </row>
    <row r="2" spans="1:6" x14ac:dyDescent="0.3">
      <c r="A2" s="5"/>
      <c r="B2" s="18" t="s">
        <v>5</v>
      </c>
      <c r="C2" s="18"/>
      <c r="D2" s="18"/>
      <c r="E2" s="13" t="s">
        <v>4</v>
      </c>
      <c r="F2" s="14" t="s">
        <v>6</v>
      </c>
    </row>
    <row r="3" spans="1:6" x14ac:dyDescent="0.3">
      <c r="A3" s="5"/>
      <c r="B3" s="15" t="s">
        <v>0</v>
      </c>
      <c r="C3" s="15" t="s">
        <v>1</v>
      </c>
      <c r="D3" s="15" t="s">
        <v>2</v>
      </c>
      <c r="E3" s="13" t="s">
        <v>3</v>
      </c>
      <c r="F3" s="14"/>
    </row>
    <row r="4" spans="1:6" x14ac:dyDescent="0.3">
      <c r="A4" s="5"/>
      <c r="B4" s="8">
        <v>0.94485841250926805</v>
      </c>
      <c r="C4" s="8">
        <v>0.85340218504034648</v>
      </c>
      <c r="D4" s="8">
        <v>0.47713125864330219</v>
      </c>
      <c r="E4" s="6">
        <v>1</v>
      </c>
      <c r="F4" s="7">
        <v>0.99971454791235137</v>
      </c>
    </row>
    <row r="5" spans="1:6" x14ac:dyDescent="0.3">
      <c r="A5" s="5"/>
      <c r="B5" s="8">
        <v>0.39188231292936582</v>
      </c>
      <c r="C5" s="8">
        <v>0.99335282466695574</v>
      </c>
      <c r="D5" s="8">
        <v>0.96466634327108081</v>
      </c>
      <c r="E5" s="6">
        <v>0</v>
      </c>
      <c r="F5" s="7">
        <v>5.9308586217337064E-11</v>
      </c>
    </row>
    <row r="6" spans="1:6" x14ac:dyDescent="0.3">
      <c r="A6" s="5"/>
      <c r="B6" s="8">
        <v>0.85514320960159984</v>
      </c>
      <c r="C6" s="8">
        <v>0.55267436467087538</v>
      </c>
      <c r="D6" s="8">
        <v>0.58345791340354503</v>
      </c>
      <c r="E6" s="6">
        <v>1</v>
      </c>
      <c r="F6" s="7">
        <v>0.99641391657625455</v>
      </c>
    </row>
    <row r="7" spans="1:6" x14ac:dyDescent="0.3">
      <c r="A7" s="5"/>
      <c r="B7" s="8">
        <v>0.62934505669620533</v>
      </c>
      <c r="C7" s="8">
        <v>0.71729144104213982</v>
      </c>
      <c r="D7" s="8">
        <v>0.35226699825000618</v>
      </c>
      <c r="E7" s="6">
        <v>1</v>
      </c>
      <c r="F7" s="7">
        <v>0.99788866468869908</v>
      </c>
    </row>
    <row r="8" spans="1:6" x14ac:dyDescent="0.3">
      <c r="A8" s="5"/>
      <c r="B8" s="8">
        <v>0.63557104823992816</v>
      </c>
      <c r="C8" s="8">
        <v>0.12131288563767773</v>
      </c>
      <c r="D8" s="8">
        <v>0.57918684285089439</v>
      </c>
      <c r="E8" s="6">
        <v>0</v>
      </c>
      <c r="F8" s="7">
        <v>1.7238741228700206E-3</v>
      </c>
    </row>
    <row r="9" spans="1:6" x14ac:dyDescent="0.3">
      <c r="A9" s="5"/>
      <c r="B9" s="8">
        <v>0.19485043182029393</v>
      </c>
      <c r="C9" s="8">
        <v>0.27973242178371793</v>
      </c>
      <c r="D9" s="8">
        <v>0.15998499124767174</v>
      </c>
      <c r="E9" s="6">
        <v>0</v>
      </c>
      <c r="F9" s="7">
        <v>3.3170675543489417E-3</v>
      </c>
    </row>
    <row r="10" spans="1:6" x14ac:dyDescent="0.3">
      <c r="A10" s="5"/>
      <c r="B10" s="8"/>
      <c r="C10" s="8"/>
      <c r="D10" s="8"/>
      <c r="E10" s="6"/>
      <c r="F10" s="7"/>
    </row>
    <row r="11" spans="1:6" x14ac:dyDescent="0.3">
      <c r="A11" s="5"/>
      <c r="B11" s="18" t="s">
        <v>7</v>
      </c>
      <c r="C11" s="18"/>
      <c r="D11" s="18"/>
      <c r="E11" s="6"/>
      <c r="F11" s="7"/>
    </row>
    <row r="12" spans="1:6" x14ac:dyDescent="0.3">
      <c r="A12" s="5"/>
      <c r="B12" s="8">
        <v>-32.174138656690779</v>
      </c>
      <c r="C12" s="8">
        <v>9.2618005898156728</v>
      </c>
      <c r="D12" s="8">
        <v>7.8936039831795091</v>
      </c>
      <c r="E12" s="6"/>
      <c r="F12" s="7"/>
    </row>
    <row r="13" spans="1:6" ht="15" thickBot="1" x14ac:dyDescent="0.35">
      <c r="A13" s="9"/>
      <c r="B13" s="10"/>
      <c r="C13" s="10"/>
      <c r="D13" s="10"/>
      <c r="E13" s="11"/>
      <c r="F13" s="12"/>
    </row>
    <row r="14" spans="1:6" x14ac:dyDescent="0.3">
      <c r="A14" s="19" t="s">
        <v>10</v>
      </c>
      <c r="B14" s="20"/>
      <c r="C14" s="20"/>
      <c r="D14" s="20"/>
      <c r="E14" s="20"/>
      <c r="F14" s="21"/>
    </row>
    <row r="15" spans="1:6" x14ac:dyDescent="0.3">
      <c r="A15" s="5"/>
      <c r="B15" s="18" t="s">
        <v>5</v>
      </c>
      <c r="C15" s="18"/>
      <c r="D15" s="18"/>
      <c r="E15" s="13" t="s">
        <v>4</v>
      </c>
      <c r="F15" s="14" t="s">
        <v>6</v>
      </c>
    </row>
    <row r="16" spans="1:6" x14ac:dyDescent="0.3">
      <c r="A16" s="5"/>
      <c r="B16" s="15" t="s">
        <v>0</v>
      </c>
      <c r="C16" s="15" t="s">
        <v>1</v>
      </c>
      <c r="D16" s="15" t="s">
        <v>2</v>
      </c>
      <c r="E16" s="13" t="s">
        <v>3</v>
      </c>
      <c r="F16" s="14"/>
    </row>
    <row r="17" spans="1:6" x14ac:dyDescent="0.3">
      <c r="A17" s="5"/>
      <c r="B17" s="8">
        <f>ROUND(B4,0)</f>
        <v>1</v>
      </c>
      <c r="C17" s="8">
        <f t="shared" ref="C17:D17" si="0">ROUND(C4,0)</f>
        <v>1</v>
      </c>
      <c r="D17" s="8">
        <f t="shared" si="0"/>
        <v>0</v>
      </c>
      <c r="E17" s="6">
        <v>1</v>
      </c>
      <c r="F17" s="7">
        <v>0.6762298143251444</v>
      </c>
    </row>
    <row r="18" spans="1:6" x14ac:dyDescent="0.3">
      <c r="A18" s="5"/>
      <c r="B18" s="8">
        <f t="shared" ref="B18:D22" si="1">ROUND(B5,0)</f>
        <v>0</v>
      </c>
      <c r="C18" s="8">
        <f t="shared" si="1"/>
        <v>1</v>
      </c>
      <c r="D18" s="8">
        <f t="shared" si="1"/>
        <v>1</v>
      </c>
      <c r="E18" s="6">
        <v>0</v>
      </c>
      <c r="F18" s="7">
        <v>0.12233476773227517</v>
      </c>
    </row>
    <row r="19" spans="1:6" x14ac:dyDescent="0.3">
      <c r="A19" s="5"/>
      <c r="B19" s="8">
        <f t="shared" si="1"/>
        <v>1</v>
      </c>
      <c r="C19" s="8">
        <f t="shared" si="1"/>
        <v>1</v>
      </c>
      <c r="D19" s="8">
        <f t="shared" si="1"/>
        <v>1</v>
      </c>
      <c r="E19" s="6">
        <v>1</v>
      </c>
      <c r="F19" s="7">
        <v>0.40746049449238525</v>
      </c>
    </row>
    <row r="20" spans="1:6" x14ac:dyDescent="0.3">
      <c r="A20" s="5"/>
      <c r="B20" s="8">
        <f t="shared" si="1"/>
        <v>1</v>
      </c>
      <c r="C20" s="8">
        <f t="shared" si="1"/>
        <v>1</v>
      </c>
      <c r="D20" s="8">
        <f t="shared" si="1"/>
        <v>0</v>
      </c>
      <c r="E20" s="6">
        <v>1</v>
      </c>
      <c r="F20" s="7">
        <v>0.6762298143251444</v>
      </c>
    </row>
    <row r="21" spans="1:6" x14ac:dyDescent="0.3">
      <c r="A21" s="5"/>
      <c r="B21" s="8">
        <f t="shared" si="1"/>
        <v>1</v>
      </c>
      <c r="C21" s="8">
        <f t="shared" si="1"/>
        <v>0</v>
      </c>
      <c r="D21" s="8">
        <f t="shared" si="1"/>
        <v>1</v>
      </c>
      <c r="E21" s="6">
        <v>0</v>
      </c>
      <c r="F21" s="7">
        <v>0.62785321520081439</v>
      </c>
    </row>
    <row r="22" spans="1:6" x14ac:dyDescent="0.3">
      <c r="A22" s="5"/>
      <c r="B22" s="8">
        <f t="shared" si="1"/>
        <v>0</v>
      </c>
      <c r="C22" s="8">
        <f t="shared" si="1"/>
        <v>0</v>
      </c>
      <c r="D22" s="8">
        <f t="shared" si="1"/>
        <v>0</v>
      </c>
      <c r="E22" s="6">
        <v>0</v>
      </c>
      <c r="F22" s="7">
        <v>0.49999999999999989</v>
      </c>
    </row>
    <row r="23" spans="1:6" x14ac:dyDescent="0.3">
      <c r="A23" s="5"/>
      <c r="B23" s="8"/>
      <c r="C23" s="8"/>
      <c r="D23" s="8"/>
      <c r="E23" s="6"/>
      <c r="F23" s="7"/>
    </row>
    <row r="24" spans="1:6" x14ac:dyDescent="0.3">
      <c r="A24" s="5"/>
      <c r="B24" s="18" t="s">
        <v>7</v>
      </c>
      <c r="C24" s="18"/>
      <c r="D24" s="18"/>
      <c r="E24" s="6"/>
      <c r="F24" s="7"/>
    </row>
    <row r="25" spans="1:6" x14ac:dyDescent="0.3">
      <c r="A25" s="5"/>
      <c r="B25" s="8">
        <v>16.004130733062109</v>
      </c>
      <c r="C25" s="8">
        <v>-8.6979271233326791</v>
      </c>
      <c r="D25" s="8">
        <v>-7.3062036097294305</v>
      </c>
      <c r="E25" s="6"/>
      <c r="F25" s="7"/>
    </row>
    <row r="26" spans="1:6" ht="15" thickBot="1" x14ac:dyDescent="0.35">
      <c r="A26" s="9"/>
      <c r="B26" s="10"/>
      <c r="C26" s="10"/>
      <c r="D26" s="10"/>
      <c r="E26" s="11"/>
      <c r="F26" s="12"/>
    </row>
    <row r="27" spans="1:6" x14ac:dyDescent="0.3">
      <c r="A27" s="19" t="s">
        <v>9</v>
      </c>
      <c r="B27" s="20"/>
      <c r="C27" s="20"/>
      <c r="D27" s="20"/>
      <c r="E27" s="20"/>
      <c r="F27" s="21"/>
    </row>
    <row r="28" spans="1:6" x14ac:dyDescent="0.3">
      <c r="A28" s="5"/>
      <c r="B28" s="18" t="s">
        <v>5</v>
      </c>
      <c r="C28" s="18"/>
      <c r="D28" s="18"/>
      <c r="E28" s="13" t="s">
        <v>4</v>
      </c>
      <c r="F28" s="14" t="s">
        <v>6</v>
      </c>
    </row>
    <row r="29" spans="1:6" x14ac:dyDescent="0.3">
      <c r="A29" s="5"/>
      <c r="B29" s="15" t="s">
        <v>0</v>
      </c>
      <c r="C29" s="15" t="s">
        <v>1</v>
      </c>
      <c r="D29" s="15" t="s">
        <v>2</v>
      </c>
      <c r="E29" s="13" t="s">
        <v>3</v>
      </c>
      <c r="F29" s="14"/>
    </row>
    <row r="30" spans="1:6" x14ac:dyDescent="0.3">
      <c r="A30" s="5"/>
      <c r="B30" s="8">
        <v>0</v>
      </c>
      <c r="C30" s="8">
        <v>1</v>
      </c>
      <c r="D30" s="8">
        <v>1</v>
      </c>
      <c r="E30" s="6">
        <v>1</v>
      </c>
      <c r="F30" s="7">
        <v>0.99875708233909199</v>
      </c>
    </row>
    <row r="31" spans="1:6" x14ac:dyDescent="0.3">
      <c r="A31" s="5"/>
      <c r="B31" s="8">
        <v>1</v>
      </c>
      <c r="C31" s="8">
        <v>1</v>
      </c>
      <c r="D31" s="8">
        <v>0</v>
      </c>
      <c r="E31" s="6">
        <v>0</v>
      </c>
      <c r="F31" s="7">
        <v>1.3771741886022526E-3</v>
      </c>
    </row>
    <row r="32" spans="1:6" x14ac:dyDescent="0.3">
      <c r="A32" s="5"/>
      <c r="B32" s="8">
        <v>0</v>
      </c>
      <c r="C32" s="8">
        <v>1</v>
      </c>
      <c r="D32" s="8">
        <v>1</v>
      </c>
      <c r="E32" s="6">
        <v>1</v>
      </c>
      <c r="F32" s="7">
        <v>0.99911297085637329</v>
      </c>
    </row>
    <row r="33" spans="1:6" x14ac:dyDescent="0.3">
      <c r="A33" s="5"/>
      <c r="B33" s="8">
        <v>0</v>
      </c>
      <c r="C33" s="8">
        <v>1</v>
      </c>
      <c r="D33" s="8">
        <v>1</v>
      </c>
      <c r="E33" s="6">
        <v>1</v>
      </c>
      <c r="F33" s="7">
        <v>0.99922669696052246</v>
      </c>
    </row>
    <row r="34" spans="1:6" x14ac:dyDescent="0.3">
      <c r="A34" s="5"/>
      <c r="B34" s="8">
        <v>1</v>
      </c>
      <c r="C34" s="8">
        <v>1</v>
      </c>
      <c r="D34" s="8">
        <v>0</v>
      </c>
      <c r="E34" s="6">
        <v>0</v>
      </c>
      <c r="F34" s="7">
        <v>1.3771741886022526E-3</v>
      </c>
    </row>
    <row r="35" spans="1:6" x14ac:dyDescent="0.3">
      <c r="A35" s="5"/>
      <c r="B35" s="8">
        <v>1</v>
      </c>
      <c r="C35" s="8">
        <v>1</v>
      </c>
      <c r="D35" s="8">
        <v>0</v>
      </c>
      <c r="E35" s="6">
        <v>0</v>
      </c>
      <c r="F35" s="7">
        <v>1.2842386867258772E-3</v>
      </c>
    </row>
    <row r="36" spans="1:6" x14ac:dyDescent="0.3">
      <c r="A36" s="5"/>
      <c r="B36" s="8"/>
      <c r="C36" s="8"/>
      <c r="D36" s="8"/>
      <c r="E36" s="6"/>
      <c r="F36" s="7"/>
    </row>
    <row r="37" spans="1:6" x14ac:dyDescent="0.3">
      <c r="A37" s="5"/>
      <c r="B37" s="18" t="s">
        <v>7</v>
      </c>
      <c r="C37" s="18"/>
      <c r="D37" s="18"/>
      <c r="E37" s="6"/>
      <c r="F37" s="7"/>
    </row>
    <row r="38" spans="1:6" x14ac:dyDescent="0.3">
      <c r="A38" s="5"/>
      <c r="B38" s="8">
        <v>15.098929004481487</v>
      </c>
      <c r="C38" s="8">
        <v>-6.3937841022864461</v>
      </c>
      <c r="D38" s="8">
        <v>-7.7619807089225024</v>
      </c>
      <c r="E38" s="6"/>
      <c r="F38" s="7"/>
    </row>
    <row r="39" spans="1:6" ht="15" thickBot="1" x14ac:dyDescent="0.35">
      <c r="A39" s="9"/>
      <c r="B39" s="10"/>
      <c r="C39" s="10"/>
      <c r="D39" s="10"/>
      <c r="E39" s="11"/>
      <c r="F39" s="12"/>
    </row>
    <row r="40" spans="1:6" x14ac:dyDescent="0.3">
      <c r="A40" s="19" t="s">
        <v>9</v>
      </c>
      <c r="B40" s="20"/>
      <c r="C40" s="20"/>
      <c r="D40" s="20"/>
      <c r="E40" s="20"/>
      <c r="F40" s="21"/>
    </row>
    <row r="41" spans="1:6" x14ac:dyDescent="0.3">
      <c r="A41" s="5"/>
      <c r="B41" s="18" t="s">
        <v>5</v>
      </c>
      <c r="C41" s="18"/>
      <c r="D41" s="18"/>
      <c r="E41" s="13" t="s">
        <v>4</v>
      </c>
      <c r="F41" s="14" t="s">
        <v>6</v>
      </c>
    </row>
    <row r="42" spans="1:6" x14ac:dyDescent="0.3">
      <c r="A42" s="5"/>
      <c r="B42" s="15" t="s">
        <v>0</v>
      </c>
      <c r="C42" s="15" t="s">
        <v>1</v>
      </c>
      <c r="D42" s="15" t="s">
        <v>2</v>
      </c>
      <c r="E42" s="13" t="s">
        <v>3</v>
      </c>
      <c r="F42" s="14"/>
    </row>
    <row r="43" spans="1:6" x14ac:dyDescent="0.3">
      <c r="A43" s="5"/>
      <c r="B43" s="8">
        <v>0</v>
      </c>
      <c r="C43" s="8">
        <v>0</v>
      </c>
      <c r="D43" s="8">
        <v>1</v>
      </c>
      <c r="E43" s="6">
        <v>1</v>
      </c>
      <c r="F43" s="7">
        <v>0.99862383997449444</v>
      </c>
    </row>
    <row r="44" spans="1:6" x14ac:dyDescent="0.3">
      <c r="A44" s="5"/>
      <c r="B44" s="8">
        <v>1</v>
      </c>
      <c r="C44" s="8">
        <v>0</v>
      </c>
      <c r="D44" s="8">
        <v>0</v>
      </c>
      <c r="E44" s="6">
        <v>0</v>
      </c>
      <c r="F44" s="7">
        <v>1.0206841309975607E-3</v>
      </c>
    </row>
    <row r="45" spans="1:6" x14ac:dyDescent="0.3">
      <c r="A45" s="5"/>
      <c r="B45" s="8">
        <v>0</v>
      </c>
      <c r="C45" s="8">
        <v>0</v>
      </c>
      <c r="D45" s="8">
        <v>1</v>
      </c>
      <c r="E45" s="6">
        <v>1</v>
      </c>
      <c r="F45" s="7">
        <v>0.99862383997449444</v>
      </c>
    </row>
    <row r="46" spans="1:6" x14ac:dyDescent="0.3">
      <c r="A46" s="5"/>
      <c r="B46" s="8">
        <v>0</v>
      </c>
      <c r="C46" s="8">
        <v>0</v>
      </c>
      <c r="D46" s="8">
        <v>1</v>
      </c>
      <c r="E46" s="6">
        <v>1</v>
      </c>
      <c r="F46" s="7">
        <v>0.99862383997449444</v>
      </c>
    </row>
    <row r="47" spans="1:6" x14ac:dyDescent="0.3">
      <c r="A47" s="5"/>
      <c r="B47" s="8">
        <v>1</v>
      </c>
      <c r="C47" s="8">
        <v>0</v>
      </c>
      <c r="D47" s="8">
        <v>0</v>
      </c>
      <c r="E47" s="6">
        <v>0</v>
      </c>
      <c r="F47" s="7">
        <v>1.0206841309975607E-3</v>
      </c>
    </row>
    <row r="48" spans="1:6" x14ac:dyDescent="0.3">
      <c r="A48" s="5"/>
      <c r="B48" s="8">
        <v>1</v>
      </c>
      <c r="C48" s="8">
        <v>0</v>
      </c>
      <c r="D48" s="8">
        <v>0</v>
      </c>
      <c r="E48" s="6">
        <v>0</v>
      </c>
      <c r="F48" s="7">
        <v>1.0206841309975607E-3</v>
      </c>
    </row>
    <row r="49" spans="1:6" x14ac:dyDescent="0.3">
      <c r="A49" s="5"/>
      <c r="B49" s="8"/>
      <c r="C49" s="8"/>
      <c r="D49" s="8"/>
      <c r="E49" s="6"/>
      <c r="F49" s="7"/>
    </row>
    <row r="50" spans="1:6" x14ac:dyDescent="0.3">
      <c r="A50" s="5"/>
      <c r="B50" s="18" t="s">
        <v>7</v>
      </c>
      <c r="C50" s="18"/>
      <c r="D50" s="18"/>
      <c r="E50" s="6"/>
      <c r="F50" s="7"/>
    </row>
    <row r="51" spans="1:6" x14ac:dyDescent="0.3">
      <c r="A51" s="5"/>
      <c r="B51" s="8">
        <v>-15.375505307501191</v>
      </c>
      <c r="C51" s="8">
        <v>7.7020361919245071</v>
      </c>
      <c r="D51" s="8">
        <v>7.0410711068949228</v>
      </c>
      <c r="E51" s="6"/>
      <c r="F51" s="7"/>
    </row>
    <row r="52" spans="1:6" ht="15" thickBot="1" x14ac:dyDescent="0.35">
      <c r="A52" s="9"/>
      <c r="B52" s="10"/>
      <c r="C52" s="10"/>
      <c r="D52" s="10"/>
      <c r="E52" s="11"/>
      <c r="F52" s="12"/>
    </row>
    <row r="53" spans="1:6" x14ac:dyDescent="0.3">
      <c r="A53" s="19" t="s">
        <v>622</v>
      </c>
      <c r="B53" s="20"/>
      <c r="C53" s="20"/>
      <c r="D53" s="20"/>
      <c r="E53" s="20"/>
      <c r="F53" s="21"/>
    </row>
    <row r="54" spans="1:6" x14ac:dyDescent="0.3">
      <c r="A54" s="5"/>
      <c r="B54" s="28" t="s">
        <v>5</v>
      </c>
      <c r="C54" s="28"/>
      <c r="D54" s="28"/>
      <c r="E54" s="32" t="s">
        <v>4</v>
      </c>
      <c r="F54" s="35" t="s">
        <v>6</v>
      </c>
    </row>
    <row r="55" spans="1:6" x14ac:dyDescent="0.3">
      <c r="A55" s="5"/>
      <c r="B55" s="29" t="s">
        <v>0</v>
      </c>
      <c r="C55" s="29" t="s">
        <v>1</v>
      </c>
      <c r="D55" s="29" t="s">
        <v>2</v>
      </c>
      <c r="E55" s="32" t="s">
        <v>3</v>
      </c>
      <c r="F55" s="35"/>
    </row>
    <row r="56" spans="1:6" x14ac:dyDescent="0.3">
      <c r="A56" s="5"/>
      <c r="B56" s="30">
        <v>1</v>
      </c>
      <c r="C56" s="30">
        <v>0</v>
      </c>
      <c r="D56" s="30">
        <v>0</v>
      </c>
      <c r="E56" s="33">
        <v>0</v>
      </c>
      <c r="F56" s="36">
        <v>1.0206828273114773E-3</v>
      </c>
    </row>
    <row r="57" spans="1:6" x14ac:dyDescent="0.3">
      <c r="A57" s="5"/>
      <c r="B57" s="30">
        <v>1</v>
      </c>
      <c r="C57" s="30">
        <v>0</v>
      </c>
      <c r="D57" s="30">
        <v>0</v>
      </c>
      <c r="E57" s="33">
        <v>0</v>
      </c>
      <c r="F57" s="36">
        <v>1.0206828273114773E-3</v>
      </c>
    </row>
    <row r="58" spans="1:6" x14ac:dyDescent="0.3">
      <c r="A58" s="5"/>
      <c r="B58" s="30">
        <v>1</v>
      </c>
      <c r="C58" s="30">
        <v>0</v>
      </c>
      <c r="D58" s="30">
        <v>0</v>
      </c>
      <c r="E58" s="33">
        <v>0</v>
      </c>
      <c r="F58" s="36">
        <v>1.0206828273114773E-3</v>
      </c>
    </row>
    <row r="59" spans="1:6" x14ac:dyDescent="0.3">
      <c r="A59" s="5"/>
      <c r="B59" s="30">
        <v>0</v>
      </c>
      <c r="C59" s="30">
        <v>0</v>
      </c>
      <c r="D59" s="30">
        <v>1</v>
      </c>
      <c r="E59" s="33">
        <v>1</v>
      </c>
      <c r="F59" s="36">
        <v>0.99862384172269092</v>
      </c>
    </row>
    <row r="60" spans="1:6" x14ac:dyDescent="0.3">
      <c r="A60" s="5"/>
      <c r="B60" s="30">
        <v>1</v>
      </c>
      <c r="C60" s="30">
        <v>0</v>
      </c>
      <c r="D60" s="30">
        <v>0</v>
      </c>
      <c r="E60" s="33">
        <v>0</v>
      </c>
      <c r="F60" s="36">
        <v>1.0206828273114773E-3</v>
      </c>
    </row>
    <row r="61" spans="1:6" x14ac:dyDescent="0.3">
      <c r="A61" s="5"/>
      <c r="B61" s="30">
        <v>1</v>
      </c>
      <c r="C61" s="30">
        <v>0</v>
      </c>
      <c r="D61" s="30">
        <v>0</v>
      </c>
      <c r="E61" s="33">
        <v>0</v>
      </c>
      <c r="F61" s="36">
        <v>1.0206828273114773E-3</v>
      </c>
    </row>
    <row r="62" spans="1:6" x14ac:dyDescent="0.3">
      <c r="A62" s="5"/>
      <c r="B62" s="30"/>
      <c r="C62" s="30"/>
      <c r="D62" s="30"/>
      <c r="E62" s="33"/>
      <c r="F62" s="36"/>
    </row>
    <row r="63" spans="1:6" x14ac:dyDescent="0.3">
      <c r="A63" s="5"/>
      <c r="B63" s="28" t="s">
        <v>7</v>
      </c>
      <c r="C63" s="28"/>
      <c r="D63" s="28"/>
      <c r="E63" s="33"/>
      <c r="F63" s="36"/>
    </row>
    <row r="64" spans="1:6" x14ac:dyDescent="0.3">
      <c r="A64" s="5"/>
      <c r="B64" s="30"/>
      <c r="C64" s="30"/>
      <c r="D64" s="30"/>
      <c r="E64" s="33"/>
      <c r="F64" s="36"/>
    </row>
    <row r="65" spans="1:6" ht="15" thickBot="1" x14ac:dyDescent="0.35">
      <c r="A65" s="9"/>
      <c r="B65" s="31"/>
      <c r="C65" s="31"/>
      <c r="D65" s="31"/>
      <c r="E65" s="34"/>
      <c r="F65" s="37"/>
    </row>
  </sheetData>
  <mergeCells count="15">
    <mergeCell ref="B63:D63"/>
    <mergeCell ref="A40:F40"/>
    <mergeCell ref="B41:D41"/>
    <mergeCell ref="B50:D50"/>
    <mergeCell ref="A53:F53"/>
    <mergeCell ref="B54:D54"/>
    <mergeCell ref="B37:D37"/>
    <mergeCell ref="B24:D24"/>
    <mergeCell ref="A1:F1"/>
    <mergeCell ref="B2:D2"/>
    <mergeCell ref="B11:D11"/>
    <mergeCell ref="A27:F27"/>
    <mergeCell ref="B28:D28"/>
    <mergeCell ref="A14:F14"/>
    <mergeCell ref="B15:D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25A6-CEB8-41DE-AA5F-63085C08CFAE}">
  <sheetPr codeName="Sheet2"/>
  <dimension ref="A1:S618"/>
  <sheetViews>
    <sheetView workbookViewId="0">
      <selection activeCell="E273" sqref="E273"/>
    </sheetView>
  </sheetViews>
  <sheetFormatPr defaultRowHeight="14.4" x14ac:dyDescent="0.3"/>
  <cols>
    <col min="1" max="5" width="8.88671875" style="16"/>
    <col min="6" max="6" width="8.88671875" style="17"/>
    <col min="9" max="11" width="8.88671875" style="2"/>
  </cols>
  <sheetData>
    <row r="1" spans="1:19" x14ac:dyDescent="0.3">
      <c r="A1" s="23" t="s">
        <v>620</v>
      </c>
      <c r="B1" s="23" t="s">
        <v>619</v>
      </c>
      <c r="C1" s="23" t="s">
        <v>0</v>
      </c>
      <c r="D1" s="23" t="s">
        <v>12</v>
      </c>
      <c r="E1" s="23" t="s">
        <v>19</v>
      </c>
      <c r="F1" s="23" t="s">
        <v>20</v>
      </c>
      <c r="G1" s="23" t="s">
        <v>13</v>
      </c>
      <c r="H1" s="22" t="s">
        <v>16</v>
      </c>
      <c r="I1" s="26" t="s">
        <v>621</v>
      </c>
      <c r="J1" s="26"/>
      <c r="K1" s="26"/>
      <c r="M1">
        <v>-1.4832970404096837</v>
      </c>
      <c r="N1">
        <v>-5.768088961962869</v>
      </c>
      <c r="O1">
        <v>-5.5956132663528209</v>
      </c>
      <c r="P1">
        <v>-5.7576936734954636</v>
      </c>
      <c r="Q1">
        <v>-4.4624924911300212</v>
      </c>
      <c r="R1">
        <v>-4.3999759210387754</v>
      </c>
      <c r="S1">
        <v>-5.5568859828750412</v>
      </c>
    </row>
    <row r="2" spans="1:19" x14ac:dyDescent="0.3">
      <c r="A2" s="23">
        <v>0</v>
      </c>
      <c r="B2" s="23">
        <v>0</v>
      </c>
      <c r="C2" s="23">
        <v>1</v>
      </c>
      <c r="D2" s="23">
        <v>0.45394736842105265</v>
      </c>
      <c r="E2" s="23">
        <v>0</v>
      </c>
      <c r="F2" s="23">
        <v>0</v>
      </c>
      <c r="G2" s="23">
        <v>1.5281580671177828E-2</v>
      </c>
      <c r="H2" s="22">
        <v>0</v>
      </c>
      <c r="I2" s="2">
        <v>1.4135919873002079E-7</v>
      </c>
      <c r="J2" s="2">
        <f>I2*10000000 - 1.3</f>
        <v>0.11359198730020781</v>
      </c>
      <c r="K2" s="2">
        <f>IF(J2&gt;0.11, 1, 0)</f>
        <v>1</v>
      </c>
    </row>
    <row r="3" spans="1:19" x14ac:dyDescent="0.3">
      <c r="A3" s="23">
        <v>0</v>
      </c>
      <c r="B3" s="23">
        <v>0</v>
      </c>
      <c r="C3" s="23">
        <v>0</v>
      </c>
      <c r="D3" s="23">
        <v>0.61842105263157898</v>
      </c>
      <c r="E3" s="23">
        <v>1</v>
      </c>
      <c r="F3" s="23">
        <v>0</v>
      </c>
      <c r="G3" s="23">
        <v>1.3663090060062943E-2</v>
      </c>
      <c r="H3" s="22">
        <v>1</v>
      </c>
      <c r="I3" s="2">
        <v>1.4090188397778476E-7</v>
      </c>
      <c r="J3" s="2">
        <f t="shared" ref="J3:J66" si="0">I3*10000000 - 1.3</f>
        <v>0.10901883977784754</v>
      </c>
      <c r="K3" s="2">
        <f t="shared" ref="K3:K66" si="1">IF(J3&gt;0.11, 1, 0)</f>
        <v>0</v>
      </c>
    </row>
    <row r="4" spans="1:19" x14ac:dyDescent="0.3">
      <c r="A4" s="23">
        <v>1</v>
      </c>
      <c r="B4" s="23">
        <v>0</v>
      </c>
      <c r="C4" s="23">
        <v>1</v>
      </c>
      <c r="D4" s="23">
        <v>0.81578947368421051</v>
      </c>
      <c r="E4" s="23">
        <v>0</v>
      </c>
      <c r="F4" s="23">
        <v>0</v>
      </c>
      <c r="G4" s="23">
        <v>1.8908740708122825E-2</v>
      </c>
      <c r="H4" s="22">
        <v>0</v>
      </c>
      <c r="I4" s="2">
        <v>1.4158269012632281E-7</v>
      </c>
      <c r="J4" s="2">
        <f t="shared" si="0"/>
        <v>0.11582690126322803</v>
      </c>
      <c r="K4" s="2">
        <f t="shared" si="1"/>
        <v>1</v>
      </c>
    </row>
    <row r="5" spans="1:19" x14ac:dyDescent="0.3">
      <c r="A5" s="23">
        <v>0</v>
      </c>
      <c r="B5" s="23">
        <v>0</v>
      </c>
      <c r="C5" s="23">
        <v>1</v>
      </c>
      <c r="D5" s="23">
        <v>0.35526315789473684</v>
      </c>
      <c r="E5" s="23">
        <v>0</v>
      </c>
      <c r="F5" s="23">
        <v>0</v>
      </c>
      <c r="G5" s="23">
        <v>1.6908073949327893E-2</v>
      </c>
      <c r="H5" s="22">
        <v>0</v>
      </c>
      <c r="I5" s="2">
        <v>1.4115196917882783E-7</v>
      </c>
      <c r="J5" s="2">
        <f t="shared" si="0"/>
        <v>0.11151969178827836</v>
      </c>
      <c r="K5" s="2">
        <f t="shared" si="1"/>
        <v>1</v>
      </c>
    </row>
    <row r="6" spans="1:19" x14ac:dyDescent="0.3">
      <c r="A6" s="23">
        <v>0</v>
      </c>
      <c r="B6" s="23">
        <v>0</v>
      </c>
      <c r="C6" s="23">
        <v>0</v>
      </c>
      <c r="D6" s="23">
        <v>0.28947368421052633</v>
      </c>
      <c r="E6" s="23">
        <v>1</v>
      </c>
      <c r="F6" s="23">
        <v>1</v>
      </c>
      <c r="G6" s="23">
        <v>2.3983602730431916E-2</v>
      </c>
      <c r="H6" s="22">
        <v>1</v>
      </c>
      <c r="I6" s="2">
        <v>1.4098877365122751E-7</v>
      </c>
      <c r="J6" s="2">
        <f t="shared" si="0"/>
        <v>0.10988773651227501</v>
      </c>
      <c r="K6" s="2">
        <f t="shared" si="1"/>
        <v>0</v>
      </c>
    </row>
    <row r="7" spans="1:19" x14ac:dyDescent="0.3">
      <c r="A7" s="23">
        <v>0</v>
      </c>
      <c r="B7" s="23">
        <v>0</v>
      </c>
      <c r="C7" s="23">
        <v>1</v>
      </c>
      <c r="D7" s="23">
        <v>0.18421052631578946</v>
      </c>
      <c r="E7" s="23">
        <v>0</v>
      </c>
      <c r="F7" s="23">
        <v>0</v>
      </c>
      <c r="G7" s="23">
        <v>1.8006000829154378E-2</v>
      </c>
      <c r="H7" s="22">
        <v>0</v>
      </c>
      <c r="I7" s="2">
        <v>1.4024206984723926E-7</v>
      </c>
      <c r="J7" s="2">
        <f t="shared" si="0"/>
        <v>0.10242069847239255</v>
      </c>
      <c r="K7" s="2">
        <f t="shared" si="1"/>
        <v>0</v>
      </c>
    </row>
    <row r="8" spans="1:19" x14ac:dyDescent="0.3">
      <c r="A8" s="23">
        <v>0</v>
      </c>
      <c r="B8" s="23">
        <v>0</v>
      </c>
      <c r="C8" s="23">
        <v>0</v>
      </c>
      <c r="D8" s="23">
        <v>0.39473684210526316</v>
      </c>
      <c r="E8" s="23">
        <v>0</v>
      </c>
      <c r="F8" s="23">
        <v>0</v>
      </c>
      <c r="G8" s="23">
        <v>1.4891206669461744E-2</v>
      </c>
      <c r="H8" s="22">
        <v>1</v>
      </c>
      <c r="I8" s="2">
        <v>1.2876852782538248E-7</v>
      </c>
      <c r="J8" s="2">
        <f t="shared" si="0"/>
        <v>-1.2314721746175206E-2</v>
      </c>
      <c r="K8" s="2">
        <f t="shared" si="1"/>
        <v>0</v>
      </c>
    </row>
    <row r="9" spans="1:19" x14ac:dyDescent="0.3">
      <c r="A9" s="23">
        <v>1</v>
      </c>
      <c r="B9" s="23">
        <v>0</v>
      </c>
      <c r="C9" s="23">
        <v>1</v>
      </c>
      <c r="D9" s="23">
        <v>0.34210526315789475</v>
      </c>
      <c r="E9" s="23">
        <v>1</v>
      </c>
      <c r="F9" s="23">
        <v>1</v>
      </c>
      <c r="G9" s="23">
        <v>5.6604230248832196E-2</v>
      </c>
      <c r="H9" s="22">
        <v>0</v>
      </c>
      <c r="I9" s="2">
        <v>1.4158320327897784E-7</v>
      </c>
      <c r="J9" s="2">
        <f t="shared" si="0"/>
        <v>0.11583203278977838</v>
      </c>
      <c r="K9" s="2">
        <f t="shared" si="1"/>
        <v>1</v>
      </c>
    </row>
    <row r="10" spans="1:19" x14ac:dyDescent="0.3">
      <c r="A10" s="23">
        <v>0</v>
      </c>
      <c r="B10" s="23">
        <v>0</v>
      </c>
      <c r="C10" s="23">
        <v>0</v>
      </c>
      <c r="D10" s="23">
        <v>0.23684210526315788</v>
      </c>
      <c r="E10" s="23">
        <v>0</v>
      </c>
      <c r="F10" s="23">
        <v>0</v>
      </c>
      <c r="G10" s="23">
        <v>1.4110458666029575E-2</v>
      </c>
      <c r="H10" s="22">
        <v>1</v>
      </c>
      <c r="I10" s="2">
        <v>1.1091651277408449E-7</v>
      </c>
      <c r="J10" s="2">
        <f t="shared" si="0"/>
        <v>-0.19083487225915508</v>
      </c>
      <c r="K10" s="2">
        <f t="shared" si="1"/>
        <v>0</v>
      </c>
    </row>
    <row r="11" spans="1:19" x14ac:dyDescent="0.3">
      <c r="A11" s="23">
        <v>0</v>
      </c>
      <c r="B11" s="23">
        <v>0</v>
      </c>
      <c r="C11" s="23">
        <v>1</v>
      </c>
      <c r="D11" s="23">
        <v>0.27631578947368424</v>
      </c>
      <c r="E11" s="23">
        <v>2</v>
      </c>
      <c r="F11" s="23">
        <v>0</v>
      </c>
      <c r="G11" s="23">
        <v>4.7137660707217151E-2</v>
      </c>
      <c r="H11" s="22">
        <v>0</v>
      </c>
      <c r="I11" s="2">
        <v>1.415530999123131E-7</v>
      </c>
      <c r="J11" s="2">
        <f t="shared" si="0"/>
        <v>0.11553099912313103</v>
      </c>
      <c r="K11" s="2">
        <f t="shared" si="1"/>
        <v>1</v>
      </c>
    </row>
    <row r="12" spans="1:19" x14ac:dyDescent="0.3">
      <c r="A12" s="23">
        <v>0</v>
      </c>
      <c r="B12" s="23">
        <v>1</v>
      </c>
      <c r="C12" s="23">
        <v>1</v>
      </c>
      <c r="D12" s="23">
        <v>0.60526315789473684</v>
      </c>
      <c r="E12" s="23">
        <v>0</v>
      </c>
      <c r="F12" s="23">
        <v>0</v>
      </c>
      <c r="G12" s="23">
        <v>5.0748620223090936E-2</v>
      </c>
      <c r="H12" s="22">
        <v>0</v>
      </c>
      <c r="I12" s="2">
        <v>1.41562624341742E-7</v>
      </c>
      <c r="J12" s="2">
        <f t="shared" si="0"/>
        <v>0.11562624341742</v>
      </c>
      <c r="K12" s="2">
        <f t="shared" si="1"/>
        <v>1</v>
      </c>
    </row>
    <row r="13" spans="1:19" x14ac:dyDescent="0.3">
      <c r="A13" s="23">
        <v>0</v>
      </c>
      <c r="B13" s="23">
        <v>1</v>
      </c>
      <c r="C13" s="23">
        <v>0</v>
      </c>
      <c r="D13" s="23">
        <v>0.30263157894736842</v>
      </c>
      <c r="E13" s="23">
        <v>1</v>
      </c>
      <c r="F13" s="23">
        <v>0</v>
      </c>
      <c r="G13" s="23">
        <v>0.16057390443488287</v>
      </c>
      <c r="H13" s="22">
        <v>1</v>
      </c>
      <c r="I13" s="2">
        <v>1.4052650150537087E-7</v>
      </c>
      <c r="J13" s="2">
        <f t="shared" si="0"/>
        <v>0.10526501505370867</v>
      </c>
      <c r="K13" s="2">
        <f t="shared" si="1"/>
        <v>0</v>
      </c>
    </row>
    <row r="14" spans="1:19" x14ac:dyDescent="0.3">
      <c r="A14" s="23">
        <v>1</v>
      </c>
      <c r="B14" s="23">
        <v>0</v>
      </c>
      <c r="C14" s="23">
        <v>1</v>
      </c>
      <c r="D14" s="23">
        <v>0.82894736842105265</v>
      </c>
      <c r="E14" s="23">
        <v>1</v>
      </c>
      <c r="F14" s="23">
        <v>0</v>
      </c>
      <c r="G14" s="23">
        <v>5.0748620223090936E-2</v>
      </c>
      <c r="H14" s="22">
        <v>0</v>
      </c>
      <c r="I14" s="2">
        <v>1.4158346024489621E-7</v>
      </c>
      <c r="J14" s="2">
        <f t="shared" si="0"/>
        <v>0.11583460244896204</v>
      </c>
      <c r="K14" s="2">
        <f t="shared" si="1"/>
        <v>1</v>
      </c>
    </row>
    <row r="15" spans="1:19" x14ac:dyDescent="0.3">
      <c r="A15" s="23">
        <v>0</v>
      </c>
      <c r="B15" s="23">
        <v>1</v>
      </c>
      <c r="C15" s="23">
        <v>0</v>
      </c>
      <c r="D15" s="23">
        <v>0.61842105263157898</v>
      </c>
      <c r="E15" s="23">
        <v>1</v>
      </c>
      <c r="F15" s="23">
        <v>0</v>
      </c>
      <c r="G15" s="23">
        <v>0.11940564777490723</v>
      </c>
      <c r="H15" s="22">
        <v>1</v>
      </c>
      <c r="I15" s="2">
        <v>1.4143909679674278E-7</v>
      </c>
      <c r="J15" s="2">
        <f t="shared" si="0"/>
        <v>0.11439096796742776</v>
      </c>
      <c r="K15" s="2">
        <f t="shared" si="1"/>
        <v>1</v>
      </c>
    </row>
    <row r="16" spans="1:19" x14ac:dyDescent="0.3">
      <c r="A16" s="23">
        <v>1</v>
      </c>
      <c r="B16" s="23">
        <v>0</v>
      </c>
      <c r="C16" s="23">
        <v>0</v>
      </c>
      <c r="D16" s="23">
        <v>0.31578947368421051</v>
      </c>
      <c r="E16" s="23">
        <v>1</v>
      </c>
      <c r="F16" s="23">
        <v>0</v>
      </c>
      <c r="G16" s="23">
        <v>5.4107398133856122E-2</v>
      </c>
      <c r="H16" s="22">
        <v>1</v>
      </c>
      <c r="I16" s="2">
        <v>1.413642026815997E-7</v>
      </c>
      <c r="J16" s="2">
        <f t="shared" si="0"/>
        <v>0.113642026815997</v>
      </c>
      <c r="K16" s="2">
        <f t="shared" si="1"/>
        <v>1</v>
      </c>
    </row>
    <row r="17" spans="1:11" x14ac:dyDescent="0.3">
      <c r="A17" s="23">
        <v>1</v>
      </c>
      <c r="B17" s="23">
        <v>0</v>
      </c>
      <c r="C17" s="23">
        <v>1</v>
      </c>
      <c r="D17" s="23">
        <v>0.46052631578947367</v>
      </c>
      <c r="E17" s="23">
        <v>0</v>
      </c>
      <c r="F17" s="23">
        <v>0</v>
      </c>
      <c r="G17" s="23">
        <v>2.4105594605968193E-2</v>
      </c>
      <c r="H17" s="22">
        <v>0</v>
      </c>
      <c r="I17" s="2">
        <v>1.4157367697964025E-7</v>
      </c>
      <c r="J17" s="2">
        <f t="shared" si="0"/>
        <v>0.11573676979640246</v>
      </c>
      <c r="K17" s="2">
        <f t="shared" si="1"/>
        <v>1</v>
      </c>
    </row>
    <row r="18" spans="1:11" x14ac:dyDescent="0.3">
      <c r="A18" s="23">
        <v>0</v>
      </c>
      <c r="B18" s="23">
        <v>0</v>
      </c>
      <c r="C18" s="23">
        <v>1</v>
      </c>
      <c r="D18" s="23">
        <v>0.27631578947368424</v>
      </c>
      <c r="E18" s="23">
        <v>0</v>
      </c>
      <c r="F18" s="23">
        <v>0</v>
      </c>
      <c r="G18" s="23">
        <v>1.4102260811993537E-2</v>
      </c>
      <c r="H18" s="22">
        <v>0</v>
      </c>
      <c r="I18" s="2">
        <v>1.4084758666183136E-7</v>
      </c>
      <c r="J18" s="2">
        <f t="shared" si="0"/>
        <v>0.10847586661831365</v>
      </c>
      <c r="K18" s="2">
        <f t="shared" si="1"/>
        <v>0</v>
      </c>
    </row>
    <row r="19" spans="1:11" x14ac:dyDescent="0.3">
      <c r="A19" s="23">
        <v>0</v>
      </c>
      <c r="B19" s="23">
        <v>0</v>
      </c>
      <c r="C19" s="23">
        <v>0</v>
      </c>
      <c r="D19" s="23">
        <v>0.35526315789473684</v>
      </c>
      <c r="E19" s="23">
        <v>1</v>
      </c>
      <c r="F19" s="23">
        <v>0</v>
      </c>
      <c r="G19" s="23">
        <v>1.5468569817999833E-2</v>
      </c>
      <c r="H19" s="22">
        <v>1</v>
      </c>
      <c r="I19" s="2">
        <v>1.3774143157035143E-7</v>
      </c>
      <c r="J19" s="2">
        <f t="shared" si="0"/>
        <v>7.7414315703514314E-2</v>
      </c>
      <c r="K19" s="2">
        <f t="shared" si="1"/>
        <v>0</v>
      </c>
    </row>
    <row r="20" spans="1:11" x14ac:dyDescent="0.3">
      <c r="A20" s="23">
        <v>0</v>
      </c>
      <c r="B20" s="23">
        <v>0</v>
      </c>
      <c r="C20" s="23">
        <v>0</v>
      </c>
      <c r="D20" s="23">
        <v>0.59210526315789469</v>
      </c>
      <c r="E20" s="23">
        <v>0</v>
      </c>
      <c r="F20" s="23">
        <v>0</v>
      </c>
      <c r="G20" s="23">
        <v>1.4102260811993537E-2</v>
      </c>
      <c r="H20" s="22">
        <v>1</v>
      </c>
      <c r="I20" s="2">
        <v>1.3786314239579235E-7</v>
      </c>
      <c r="J20" s="2">
        <f t="shared" si="0"/>
        <v>7.8631423957923552E-2</v>
      </c>
      <c r="K20" s="2">
        <f t="shared" si="1"/>
        <v>0</v>
      </c>
    </row>
    <row r="21" spans="1:11" x14ac:dyDescent="0.3">
      <c r="A21" s="23">
        <v>0</v>
      </c>
      <c r="B21" s="23">
        <v>1</v>
      </c>
      <c r="C21" s="23">
        <v>1</v>
      </c>
      <c r="D21" s="23">
        <v>0.72368421052631582</v>
      </c>
      <c r="E21" s="23">
        <v>1</v>
      </c>
      <c r="F21" s="23">
        <v>0</v>
      </c>
      <c r="G21" s="23">
        <v>0.11594107850967697</v>
      </c>
      <c r="H21" s="22">
        <v>0</v>
      </c>
      <c r="I21" s="2">
        <v>1.4158194304522297E-7</v>
      </c>
      <c r="J21" s="2">
        <f t="shared" si="0"/>
        <v>0.11581943045222953</v>
      </c>
      <c r="K21" s="2">
        <f t="shared" si="1"/>
        <v>1</v>
      </c>
    </row>
    <row r="22" spans="1:11" x14ac:dyDescent="0.3">
      <c r="A22" s="23">
        <v>0</v>
      </c>
      <c r="B22" s="23">
        <v>0</v>
      </c>
      <c r="C22" s="23">
        <v>1</v>
      </c>
      <c r="D22" s="23">
        <v>0.11842105263157894</v>
      </c>
      <c r="E22" s="23">
        <v>0</v>
      </c>
      <c r="F22" s="23">
        <v>1</v>
      </c>
      <c r="G22" s="23">
        <v>6.1889894232067966E-3</v>
      </c>
      <c r="H22" s="22">
        <v>1</v>
      </c>
      <c r="I22" s="2">
        <v>1.4136764836342845E-7</v>
      </c>
      <c r="J22" s="2">
        <f t="shared" si="0"/>
        <v>0.11367648363428451</v>
      </c>
      <c r="K22" s="2">
        <f t="shared" si="1"/>
        <v>1</v>
      </c>
    </row>
    <row r="23" spans="1:11" x14ac:dyDescent="0.3">
      <c r="A23" s="23">
        <v>0</v>
      </c>
      <c r="B23" s="23">
        <v>1</v>
      </c>
      <c r="C23" s="23">
        <v>1</v>
      </c>
      <c r="D23" s="23">
        <v>0.27631578947368424</v>
      </c>
      <c r="E23" s="23">
        <v>0</v>
      </c>
      <c r="F23" s="23">
        <v>1</v>
      </c>
      <c r="G23" s="23">
        <v>0.11980421963065935</v>
      </c>
      <c r="H23" s="22">
        <v>0</v>
      </c>
      <c r="I23" s="2">
        <v>1.4156810182963749E-7</v>
      </c>
      <c r="J23" s="2">
        <f t="shared" si="0"/>
        <v>0.115681018296375</v>
      </c>
      <c r="K23" s="2">
        <f t="shared" si="1"/>
        <v>1</v>
      </c>
    </row>
    <row r="24" spans="1:11" x14ac:dyDescent="0.3">
      <c r="A24" s="23">
        <v>0</v>
      </c>
      <c r="B24" s="23">
        <v>1</v>
      </c>
      <c r="C24" s="23">
        <v>0</v>
      </c>
      <c r="D24" s="23">
        <v>0.63157894736842102</v>
      </c>
      <c r="E24" s="23">
        <v>1</v>
      </c>
      <c r="F24" s="23">
        <v>3</v>
      </c>
      <c r="G24" s="23">
        <v>0.51212189350128778</v>
      </c>
      <c r="H24" s="22">
        <v>1</v>
      </c>
      <c r="I24" s="2">
        <v>1.4158358408404238E-7</v>
      </c>
      <c r="J24" s="2">
        <f t="shared" si="0"/>
        <v>0.11583584084042364</v>
      </c>
      <c r="K24" s="2">
        <f t="shared" si="1"/>
        <v>1</v>
      </c>
    </row>
    <row r="25" spans="1:11" x14ac:dyDescent="0.3">
      <c r="A25" s="23">
        <v>0</v>
      </c>
      <c r="B25" s="23">
        <v>0</v>
      </c>
      <c r="C25" s="23">
        <v>1</v>
      </c>
      <c r="D25" s="23">
        <v>0.65789473684210531</v>
      </c>
      <c r="E25" s="23">
        <v>1</v>
      </c>
      <c r="F25" s="23">
        <v>0</v>
      </c>
      <c r="G25" s="23">
        <v>2.8302115124416098E-2</v>
      </c>
      <c r="H25" s="22">
        <v>0</v>
      </c>
      <c r="I25" s="2">
        <v>1.4157185053896013E-7</v>
      </c>
      <c r="J25" s="2">
        <f t="shared" si="0"/>
        <v>0.11571850538960127</v>
      </c>
      <c r="K25" s="2">
        <f t="shared" si="1"/>
        <v>1</v>
      </c>
    </row>
    <row r="26" spans="1:11" x14ac:dyDescent="0.3">
      <c r="A26" s="23">
        <v>0</v>
      </c>
      <c r="B26" s="23">
        <v>1</v>
      </c>
      <c r="C26" s="23">
        <v>0</v>
      </c>
      <c r="D26" s="23">
        <v>0.28947368421052633</v>
      </c>
      <c r="E26" s="23">
        <v>0</v>
      </c>
      <c r="F26" s="23">
        <v>1</v>
      </c>
      <c r="G26" s="23">
        <v>0.1209753416358076</v>
      </c>
      <c r="H26" s="22">
        <v>1</v>
      </c>
      <c r="I26" s="2">
        <v>1.4097875094008185E-7</v>
      </c>
      <c r="J26" s="2">
        <f t="shared" si="0"/>
        <v>0.10978750940081849</v>
      </c>
      <c r="K26" s="2">
        <f t="shared" si="1"/>
        <v>0</v>
      </c>
    </row>
    <row r="27" spans="1:11" x14ac:dyDescent="0.3">
      <c r="A27" s="23">
        <v>0</v>
      </c>
      <c r="B27" s="23">
        <v>0</v>
      </c>
      <c r="C27" s="23">
        <v>1</v>
      </c>
      <c r="D27" s="23">
        <v>0.29605263157894735</v>
      </c>
      <c r="E27" s="23">
        <v>0</v>
      </c>
      <c r="F27" s="23">
        <v>0</v>
      </c>
      <c r="G27" s="23">
        <v>1.4102260811993537E-2</v>
      </c>
      <c r="H27" s="22">
        <v>0</v>
      </c>
      <c r="I27" s="2">
        <v>1.4093816518645011E-7</v>
      </c>
      <c r="J27" s="2">
        <f t="shared" si="0"/>
        <v>0.10938165186450099</v>
      </c>
      <c r="K27" s="2">
        <f t="shared" si="1"/>
        <v>0</v>
      </c>
    </row>
    <row r="28" spans="1:11" x14ac:dyDescent="0.3">
      <c r="A28" s="23">
        <v>0</v>
      </c>
      <c r="B28" s="23">
        <v>1</v>
      </c>
      <c r="C28" s="23">
        <v>1</v>
      </c>
      <c r="D28" s="23">
        <v>0.53947368421052633</v>
      </c>
      <c r="E28" s="23">
        <v>0</v>
      </c>
      <c r="F28" s="23">
        <v>0</v>
      </c>
      <c r="G28" s="23">
        <v>5.9532035261702823E-2</v>
      </c>
      <c r="H28" s="22">
        <v>0</v>
      </c>
      <c r="I28" s="2">
        <v>1.4155180647912951E-7</v>
      </c>
      <c r="J28" s="2">
        <f t="shared" si="0"/>
        <v>0.11551806479129501</v>
      </c>
      <c r="K28" s="2">
        <f t="shared" si="1"/>
        <v>1</v>
      </c>
    </row>
    <row r="29" spans="1:11" x14ac:dyDescent="0.3">
      <c r="A29" s="23">
        <v>1</v>
      </c>
      <c r="B29" s="23">
        <v>0</v>
      </c>
      <c r="C29" s="23">
        <v>1</v>
      </c>
      <c r="D29" s="23">
        <v>0.65789473684210531</v>
      </c>
      <c r="E29" s="23">
        <v>1</v>
      </c>
      <c r="F29" s="23">
        <v>0</v>
      </c>
      <c r="G29" s="23">
        <v>5.0748620223090936E-2</v>
      </c>
      <c r="H29" s="22">
        <v>0</v>
      </c>
      <c r="I29" s="2">
        <v>1.415831028968094E-7</v>
      </c>
      <c r="J29" s="2">
        <f t="shared" si="0"/>
        <v>0.11583102896809394</v>
      </c>
      <c r="K29" s="2">
        <f t="shared" si="1"/>
        <v>1</v>
      </c>
    </row>
    <row r="30" spans="1:11" x14ac:dyDescent="0.3">
      <c r="A30" s="23">
        <v>1</v>
      </c>
      <c r="B30" s="23">
        <v>0</v>
      </c>
      <c r="C30" s="23">
        <v>1</v>
      </c>
      <c r="D30" s="23">
        <v>0.31578947368421051</v>
      </c>
      <c r="E30" s="23">
        <v>2</v>
      </c>
      <c r="F30" s="23">
        <v>0</v>
      </c>
      <c r="G30" s="23">
        <v>6.1483905270283246E-2</v>
      </c>
      <c r="H30" s="22">
        <v>0</v>
      </c>
      <c r="I30" s="2">
        <v>1.4158255947720009E-7</v>
      </c>
      <c r="J30" s="2">
        <f t="shared" si="0"/>
        <v>0.11582559477200083</v>
      </c>
      <c r="K30" s="2">
        <f t="shared" si="1"/>
        <v>1</v>
      </c>
    </row>
    <row r="31" spans="1:11" x14ac:dyDescent="0.3">
      <c r="A31" s="23">
        <v>0</v>
      </c>
      <c r="B31" s="23">
        <v>0</v>
      </c>
      <c r="C31" s="23">
        <v>0</v>
      </c>
      <c r="D31" s="23">
        <v>0.43421052631578949</v>
      </c>
      <c r="E31" s="23">
        <v>1</v>
      </c>
      <c r="F31" s="23">
        <v>2</v>
      </c>
      <c r="G31" s="23">
        <v>4.0159725426542149E-2</v>
      </c>
      <c r="H31" s="22">
        <v>0</v>
      </c>
      <c r="I31" s="2">
        <v>1.4156209045718369E-7</v>
      </c>
      <c r="J31" s="2">
        <f t="shared" si="0"/>
        <v>0.11562090457183682</v>
      </c>
      <c r="K31" s="2">
        <f t="shared" si="1"/>
        <v>1</v>
      </c>
    </row>
    <row r="32" spans="1:11" x14ac:dyDescent="0.3">
      <c r="A32" s="23">
        <v>0</v>
      </c>
      <c r="B32" s="23">
        <v>1</v>
      </c>
      <c r="C32" s="23">
        <v>1</v>
      </c>
      <c r="D32" s="23">
        <v>0.39473684210526316</v>
      </c>
      <c r="E32" s="23">
        <v>1</v>
      </c>
      <c r="F32" s="23">
        <v>0</v>
      </c>
      <c r="G32" s="23">
        <v>0.11272049299551928</v>
      </c>
      <c r="H32" s="22">
        <v>0</v>
      </c>
      <c r="I32" s="2">
        <v>1.4156827258492844E-7</v>
      </c>
      <c r="J32" s="2">
        <f t="shared" si="0"/>
        <v>0.1156827258492843</v>
      </c>
      <c r="K32" s="2">
        <f t="shared" si="1"/>
        <v>1</v>
      </c>
    </row>
    <row r="33" spans="1:11" x14ac:dyDescent="0.3">
      <c r="A33" s="23">
        <v>0</v>
      </c>
      <c r="B33" s="23">
        <v>0</v>
      </c>
      <c r="C33" s="23">
        <v>1</v>
      </c>
      <c r="D33" s="23">
        <v>0.24342105263157895</v>
      </c>
      <c r="E33" s="23">
        <v>0</v>
      </c>
      <c r="F33" s="23">
        <v>0</v>
      </c>
      <c r="G33" s="23">
        <v>1.4110458666029575E-2</v>
      </c>
      <c r="H33" s="22">
        <v>0</v>
      </c>
      <c r="I33" s="2">
        <v>1.4066774846718768E-7</v>
      </c>
      <c r="J33" s="2">
        <f t="shared" si="0"/>
        <v>0.10667748467187677</v>
      </c>
      <c r="K33" s="2">
        <f t="shared" si="1"/>
        <v>0</v>
      </c>
    </row>
    <row r="34" spans="1:11" x14ac:dyDescent="0.3">
      <c r="A34" s="23">
        <v>0</v>
      </c>
      <c r="B34" s="23">
        <v>0</v>
      </c>
      <c r="C34" s="23">
        <v>1</v>
      </c>
      <c r="D34" s="23">
        <v>0.32894736842105265</v>
      </c>
      <c r="E34" s="23">
        <v>0</v>
      </c>
      <c r="F34" s="23">
        <v>0</v>
      </c>
      <c r="G34" s="23">
        <v>1.8542765081513996E-2</v>
      </c>
      <c r="H34" s="22">
        <v>1</v>
      </c>
      <c r="I34" s="2">
        <v>1.4107155440761293E-7</v>
      </c>
      <c r="J34" s="2">
        <f t="shared" si="0"/>
        <v>0.11071554407612938</v>
      </c>
      <c r="K34" s="2">
        <f t="shared" si="1"/>
        <v>1</v>
      </c>
    </row>
    <row r="35" spans="1:11" x14ac:dyDescent="0.3">
      <c r="A35" s="23">
        <v>0</v>
      </c>
      <c r="B35" s="23">
        <v>0</v>
      </c>
      <c r="C35" s="23">
        <v>1</v>
      </c>
      <c r="D35" s="23">
        <v>0.51315789473684215</v>
      </c>
      <c r="E35" s="23">
        <v>0</v>
      </c>
      <c r="F35" s="23">
        <v>0</v>
      </c>
      <c r="G35" s="23">
        <v>2.6187654344120927E-2</v>
      </c>
      <c r="H35" s="22">
        <v>0</v>
      </c>
      <c r="I35" s="2">
        <v>1.4143708535918542E-7</v>
      </c>
      <c r="J35" s="2">
        <f t="shared" si="0"/>
        <v>0.11437085359185417</v>
      </c>
      <c r="K35" s="2">
        <f t="shared" si="1"/>
        <v>1</v>
      </c>
    </row>
    <row r="36" spans="1:11" x14ac:dyDescent="0.3">
      <c r="A36" s="23">
        <v>1</v>
      </c>
      <c r="B36" s="23">
        <v>0</v>
      </c>
      <c r="C36" s="23">
        <v>0</v>
      </c>
      <c r="D36" s="23">
        <v>0.39473684210526316</v>
      </c>
      <c r="E36" s="23">
        <v>0</v>
      </c>
      <c r="F36" s="23">
        <v>1</v>
      </c>
      <c r="G36" s="23">
        <v>2.5374310111545468E-2</v>
      </c>
      <c r="H36" s="22">
        <v>0</v>
      </c>
      <c r="I36" s="2">
        <v>1.41518044110218E-7</v>
      </c>
      <c r="J36" s="2">
        <f t="shared" si="0"/>
        <v>0.11518044110217995</v>
      </c>
      <c r="K36" s="2">
        <f t="shared" si="1"/>
        <v>1</v>
      </c>
    </row>
    <row r="37" spans="1:11" x14ac:dyDescent="0.3">
      <c r="A37" s="23">
        <v>0</v>
      </c>
      <c r="B37" s="23">
        <v>0</v>
      </c>
      <c r="C37" s="23">
        <v>1</v>
      </c>
      <c r="D37" s="23">
        <v>0.32894736842105265</v>
      </c>
      <c r="E37" s="23">
        <v>0</v>
      </c>
      <c r="F37" s="23">
        <v>0</v>
      </c>
      <c r="G37" s="23">
        <v>1.5468569817999833E-2</v>
      </c>
      <c r="H37" s="22">
        <v>0</v>
      </c>
      <c r="I37" s="2">
        <v>1.4106712748399504E-7</v>
      </c>
      <c r="J37" s="2">
        <f t="shared" si="0"/>
        <v>0.11067127483995032</v>
      </c>
      <c r="K37" s="2">
        <f t="shared" si="1"/>
        <v>1</v>
      </c>
    </row>
    <row r="38" spans="1:11" x14ac:dyDescent="0.3">
      <c r="A38" s="23">
        <v>0</v>
      </c>
      <c r="B38" s="23">
        <v>1</v>
      </c>
      <c r="C38" s="23">
        <v>1</v>
      </c>
      <c r="D38" s="23">
        <v>0.59210526315789469</v>
      </c>
      <c r="E38" s="23">
        <v>0</v>
      </c>
      <c r="F38" s="23">
        <v>0</v>
      </c>
      <c r="G38" s="23">
        <v>5.7970539254838485E-2</v>
      </c>
      <c r="H38" s="22">
        <v>1</v>
      </c>
      <c r="I38" s="2">
        <v>1.4156115256130568E-7</v>
      </c>
      <c r="J38" s="2">
        <f t="shared" si="0"/>
        <v>0.11561152561305676</v>
      </c>
      <c r="K38" s="2">
        <f t="shared" si="1"/>
        <v>1</v>
      </c>
    </row>
    <row r="39" spans="1:11" x14ac:dyDescent="0.3">
      <c r="A39" s="23">
        <v>0</v>
      </c>
      <c r="B39" s="23">
        <v>1</v>
      </c>
      <c r="C39" s="23">
        <v>0</v>
      </c>
      <c r="D39" s="23">
        <v>0.78947368421052633</v>
      </c>
      <c r="E39" s="23">
        <v>1</v>
      </c>
      <c r="F39" s="23">
        <v>0</v>
      </c>
      <c r="G39" s="23">
        <v>0.14891148113361488</v>
      </c>
      <c r="H39" s="22">
        <v>1</v>
      </c>
      <c r="I39" s="2">
        <v>1.4154124545990048E-7</v>
      </c>
      <c r="J39" s="2">
        <f t="shared" si="0"/>
        <v>0.11541245459900473</v>
      </c>
      <c r="K39" s="2">
        <f t="shared" si="1"/>
        <v>1</v>
      </c>
    </row>
    <row r="40" spans="1:11" x14ac:dyDescent="0.3">
      <c r="A40" s="23">
        <v>0</v>
      </c>
      <c r="B40" s="23">
        <v>0</v>
      </c>
      <c r="C40" s="23">
        <v>0</v>
      </c>
      <c r="D40" s="23">
        <v>0.47368421052631576</v>
      </c>
      <c r="E40" s="23">
        <v>0</v>
      </c>
      <c r="F40" s="23">
        <v>0</v>
      </c>
      <c r="G40" s="23">
        <v>3.1034733136428686E-2</v>
      </c>
      <c r="H40" s="22">
        <v>0</v>
      </c>
      <c r="I40" s="2">
        <v>1.340079654097367E-7</v>
      </c>
      <c r="J40" s="2">
        <f t="shared" si="0"/>
        <v>4.0079654097366912E-2</v>
      </c>
      <c r="K40" s="2">
        <f t="shared" si="1"/>
        <v>0</v>
      </c>
    </row>
    <row r="41" spans="1:11" x14ac:dyDescent="0.3">
      <c r="A41" s="23">
        <v>0</v>
      </c>
      <c r="B41" s="23">
        <v>1</v>
      </c>
      <c r="C41" s="23">
        <v>1</v>
      </c>
      <c r="D41" s="23">
        <v>0.31578947368421051</v>
      </c>
      <c r="E41" s="23">
        <v>0</v>
      </c>
      <c r="F41" s="23">
        <v>0</v>
      </c>
      <c r="G41" s="23">
        <v>0.11711220051482522</v>
      </c>
      <c r="H41" s="22">
        <v>0</v>
      </c>
      <c r="I41" s="2">
        <v>1.4146280660007026E-7</v>
      </c>
      <c r="J41" s="2">
        <f t="shared" si="0"/>
        <v>0.11462806600070263</v>
      </c>
      <c r="K41" s="2">
        <f t="shared" si="1"/>
        <v>1</v>
      </c>
    </row>
    <row r="42" spans="1:11" x14ac:dyDescent="0.3">
      <c r="A42" s="23">
        <v>1</v>
      </c>
      <c r="B42" s="23">
        <v>0</v>
      </c>
      <c r="C42" s="23">
        <v>0</v>
      </c>
      <c r="D42" s="23">
        <v>0.26315789473684209</v>
      </c>
      <c r="E42" s="23">
        <v>0</v>
      </c>
      <c r="F42" s="23">
        <v>0</v>
      </c>
      <c r="G42" s="23">
        <v>4.4893010197349668E-2</v>
      </c>
      <c r="H42" s="22">
        <v>1</v>
      </c>
      <c r="I42" s="2">
        <v>1.4009394130793015E-7</v>
      </c>
      <c r="J42" s="2">
        <f t="shared" si="0"/>
        <v>0.10093941307930154</v>
      </c>
      <c r="K42" s="2">
        <f t="shared" si="1"/>
        <v>0</v>
      </c>
    </row>
    <row r="43" spans="1:11" x14ac:dyDescent="0.3">
      <c r="A43" s="23">
        <v>0</v>
      </c>
      <c r="B43" s="23">
        <v>1</v>
      </c>
      <c r="C43" s="23">
        <v>0</v>
      </c>
      <c r="D43" s="23">
        <v>0.36842105263157893</v>
      </c>
      <c r="E43" s="23">
        <v>0</v>
      </c>
      <c r="F43" s="23">
        <v>2</v>
      </c>
      <c r="G43" s="23">
        <v>0.51334181225665054</v>
      </c>
      <c r="H43" s="22">
        <v>1</v>
      </c>
      <c r="I43" s="2">
        <v>1.4157181641035404E-7</v>
      </c>
      <c r="J43" s="2">
        <f t="shared" si="0"/>
        <v>0.1157181641035403</v>
      </c>
      <c r="K43" s="2">
        <f t="shared" si="1"/>
        <v>1</v>
      </c>
    </row>
    <row r="44" spans="1:11" x14ac:dyDescent="0.3">
      <c r="A44" s="23">
        <v>0</v>
      </c>
      <c r="B44" s="23">
        <v>0</v>
      </c>
      <c r="C44" s="23">
        <v>1</v>
      </c>
      <c r="D44" s="23">
        <v>0.13157894736842105</v>
      </c>
      <c r="E44" s="23">
        <v>1</v>
      </c>
      <c r="F44" s="23">
        <v>0</v>
      </c>
      <c r="G44" s="23">
        <v>5.6848213999904744E-2</v>
      </c>
      <c r="H44" s="22">
        <v>0</v>
      </c>
      <c r="I44" s="2">
        <v>1.4121680128665125E-7</v>
      </c>
      <c r="J44" s="2">
        <f t="shared" si="0"/>
        <v>0.11216801286651257</v>
      </c>
      <c r="K44" s="2">
        <f t="shared" si="1"/>
        <v>1</v>
      </c>
    </row>
    <row r="45" spans="1:11" x14ac:dyDescent="0.3">
      <c r="A45" s="23">
        <v>0</v>
      </c>
      <c r="B45" s="23">
        <v>0</v>
      </c>
      <c r="C45" s="23">
        <v>1</v>
      </c>
      <c r="D45" s="23">
        <v>0.46052631578947367</v>
      </c>
      <c r="E45" s="23">
        <v>0</v>
      </c>
      <c r="F45" s="23">
        <v>0</v>
      </c>
      <c r="G45" s="23">
        <v>1.5411575213749284E-2</v>
      </c>
      <c r="H45" s="22">
        <v>0</v>
      </c>
      <c r="I45" s="2">
        <v>1.413689259833896E-7</v>
      </c>
      <c r="J45" s="2">
        <f t="shared" si="0"/>
        <v>0.11368925983389588</v>
      </c>
      <c r="K45" s="2">
        <f t="shared" si="1"/>
        <v>1</v>
      </c>
    </row>
    <row r="46" spans="1:11" x14ac:dyDescent="0.3">
      <c r="A46" s="23">
        <v>0</v>
      </c>
      <c r="B46" s="23">
        <v>0</v>
      </c>
      <c r="C46" s="23">
        <v>1</v>
      </c>
      <c r="D46" s="23">
        <v>0.32894736842105265</v>
      </c>
      <c r="E46" s="23">
        <v>2</v>
      </c>
      <c r="F46" s="23">
        <v>1</v>
      </c>
      <c r="G46" s="23">
        <v>1.4931805565640218E-2</v>
      </c>
      <c r="H46" s="22">
        <v>1</v>
      </c>
      <c r="I46" s="2">
        <v>1.4158129232025363E-7</v>
      </c>
      <c r="J46" s="2">
        <f t="shared" si="0"/>
        <v>0.11581292320253622</v>
      </c>
      <c r="K46" s="2">
        <f t="shared" si="1"/>
        <v>1</v>
      </c>
    </row>
    <row r="47" spans="1:11" x14ac:dyDescent="0.3">
      <c r="A47" s="23">
        <v>0</v>
      </c>
      <c r="B47" s="23">
        <v>1</v>
      </c>
      <c r="C47" s="23">
        <v>0</v>
      </c>
      <c r="D47" s="23">
        <v>0.47368421052631576</v>
      </c>
      <c r="E47" s="23">
        <v>3</v>
      </c>
      <c r="F47" s="23">
        <v>2</v>
      </c>
      <c r="G47" s="23">
        <v>0.51212189350128778</v>
      </c>
      <c r="H47" s="22">
        <v>1</v>
      </c>
      <c r="I47" s="2">
        <v>1.4158357072852656E-7</v>
      </c>
      <c r="J47" s="2">
        <f t="shared" si="0"/>
        <v>0.1158357072852656</v>
      </c>
      <c r="K47" s="2">
        <f t="shared" si="1"/>
        <v>1</v>
      </c>
    </row>
    <row r="48" spans="1:11" x14ac:dyDescent="0.3">
      <c r="A48" s="23">
        <v>1</v>
      </c>
      <c r="B48" s="23">
        <v>0</v>
      </c>
      <c r="C48" s="23">
        <v>1</v>
      </c>
      <c r="D48" s="23">
        <v>0.42105263157894735</v>
      </c>
      <c r="E48" s="23">
        <v>4</v>
      </c>
      <c r="F48" s="23">
        <v>1</v>
      </c>
      <c r="G48" s="23">
        <v>2.6350245115835676E-2</v>
      </c>
      <c r="H48" s="22">
        <v>0</v>
      </c>
      <c r="I48" s="2">
        <v>1.4158362450758681E-7</v>
      </c>
      <c r="J48" s="2">
        <f t="shared" si="0"/>
        <v>0.11583624507586809</v>
      </c>
      <c r="K48" s="2">
        <f t="shared" si="1"/>
        <v>1</v>
      </c>
    </row>
    <row r="49" spans="1:11" x14ac:dyDescent="0.3">
      <c r="A49" s="23">
        <v>0</v>
      </c>
      <c r="B49" s="23">
        <v>0</v>
      </c>
      <c r="C49" s="23">
        <v>1</v>
      </c>
      <c r="D49" s="23">
        <v>0.23684210526315788</v>
      </c>
      <c r="E49" s="23">
        <v>0</v>
      </c>
      <c r="F49" s="23">
        <v>0</v>
      </c>
      <c r="G49" s="23">
        <v>1.5126992566498259E-2</v>
      </c>
      <c r="H49" s="22">
        <v>0</v>
      </c>
      <c r="I49" s="2">
        <v>1.4062956305040109E-7</v>
      </c>
      <c r="J49" s="2">
        <f t="shared" si="0"/>
        <v>0.10629563050401081</v>
      </c>
      <c r="K49" s="2">
        <f t="shared" si="1"/>
        <v>0</v>
      </c>
    </row>
    <row r="50" spans="1:11" x14ac:dyDescent="0.3">
      <c r="A50" s="23">
        <v>0</v>
      </c>
      <c r="B50" s="23">
        <v>0</v>
      </c>
      <c r="C50" s="23">
        <v>0</v>
      </c>
      <c r="D50" s="23">
        <v>0.28947368421052633</v>
      </c>
      <c r="E50" s="23">
        <v>0</v>
      </c>
      <c r="F50" s="23">
        <v>0</v>
      </c>
      <c r="G50" s="23">
        <v>1.5078195816283748E-2</v>
      </c>
      <c r="H50" s="22">
        <v>0</v>
      </c>
      <c r="I50" s="2">
        <v>1.182569142553019E-7</v>
      </c>
      <c r="J50" s="2">
        <f t="shared" si="0"/>
        <v>-0.11743085744698112</v>
      </c>
      <c r="K50" s="2">
        <f t="shared" si="1"/>
        <v>0</v>
      </c>
    </row>
    <row r="51" spans="1:11" x14ac:dyDescent="0.3">
      <c r="A51" s="23">
        <v>0</v>
      </c>
      <c r="B51" s="23">
        <v>0</v>
      </c>
      <c r="C51" s="23">
        <v>0</v>
      </c>
      <c r="D51" s="23">
        <v>0.23684210526315788</v>
      </c>
      <c r="E51" s="23">
        <v>0</v>
      </c>
      <c r="F51" s="23">
        <v>0</v>
      </c>
      <c r="G51" s="23">
        <v>1.5379174171606849E-2</v>
      </c>
      <c r="H51" s="22">
        <v>1</v>
      </c>
      <c r="I51" s="2">
        <v>1.1099714752596115E-7</v>
      </c>
      <c r="J51" s="2">
        <f t="shared" si="0"/>
        <v>-0.19002852474038856</v>
      </c>
      <c r="K51" s="2">
        <f t="shared" si="1"/>
        <v>0</v>
      </c>
    </row>
    <row r="52" spans="1:11" x14ac:dyDescent="0.3">
      <c r="A52" s="23">
        <v>0</v>
      </c>
      <c r="B52" s="23">
        <v>1</v>
      </c>
      <c r="C52" s="23">
        <v>1</v>
      </c>
      <c r="D52" s="23">
        <v>0.61842105263157898</v>
      </c>
      <c r="E52" s="23">
        <v>0</v>
      </c>
      <c r="F52" s="23">
        <v>0</v>
      </c>
      <c r="G52" s="23">
        <v>8.275928836380983E-2</v>
      </c>
      <c r="H52" s="22">
        <v>0</v>
      </c>
      <c r="I52" s="2">
        <v>1.4156604966657706E-7</v>
      </c>
      <c r="J52" s="2">
        <f t="shared" si="0"/>
        <v>0.11566049666577061</v>
      </c>
      <c r="K52" s="2">
        <f t="shared" si="1"/>
        <v>1</v>
      </c>
    </row>
    <row r="53" spans="1:11" x14ac:dyDescent="0.3">
      <c r="A53" s="23">
        <v>0</v>
      </c>
      <c r="B53" s="23">
        <v>1</v>
      </c>
      <c r="C53" s="23">
        <v>1</v>
      </c>
      <c r="D53" s="23">
        <v>0.40789473684210525</v>
      </c>
      <c r="E53" s="23">
        <v>0</v>
      </c>
      <c r="F53" s="23">
        <v>0</v>
      </c>
      <c r="G53" s="23">
        <v>5.570149036986375E-2</v>
      </c>
      <c r="H53" s="22">
        <v>0</v>
      </c>
      <c r="I53" s="2">
        <v>1.4150607061425547E-7</v>
      </c>
      <c r="J53" s="2">
        <f t="shared" si="0"/>
        <v>0.11506070614255459</v>
      </c>
      <c r="K53" s="2">
        <f t="shared" si="1"/>
        <v>1</v>
      </c>
    </row>
    <row r="54" spans="1:11" x14ac:dyDescent="0.3">
      <c r="A54" s="23">
        <v>0</v>
      </c>
      <c r="B54" s="23">
        <v>1</v>
      </c>
      <c r="C54" s="23">
        <v>0</v>
      </c>
      <c r="D54" s="23">
        <v>0.78947368421052633</v>
      </c>
      <c r="E54" s="23">
        <v>0</v>
      </c>
      <c r="F54" s="23">
        <v>0</v>
      </c>
      <c r="G54" s="23">
        <v>0.51334181225665054</v>
      </c>
      <c r="H54" s="22">
        <v>0</v>
      </c>
      <c r="I54" s="2">
        <v>1.4151214178933249E-7</v>
      </c>
      <c r="J54" s="2">
        <f t="shared" si="0"/>
        <v>0.11512141789332486</v>
      </c>
      <c r="K54" s="2">
        <f t="shared" si="1"/>
        <v>1</v>
      </c>
    </row>
    <row r="55" spans="1:11" x14ac:dyDescent="0.3">
      <c r="A55" s="23">
        <v>0</v>
      </c>
      <c r="B55" s="23">
        <v>0</v>
      </c>
      <c r="C55" s="23">
        <v>0</v>
      </c>
      <c r="D55" s="23">
        <v>0.31578947368421051</v>
      </c>
      <c r="E55" s="23">
        <v>0</v>
      </c>
      <c r="F55" s="23">
        <v>0</v>
      </c>
      <c r="G55" s="23">
        <v>1.5126992566498259E-2</v>
      </c>
      <c r="H55" s="22">
        <v>1</v>
      </c>
      <c r="I55" s="2">
        <v>1.2138043047291527E-7</v>
      </c>
      <c r="J55" s="2">
        <f t="shared" si="0"/>
        <v>-8.6195695270847361E-2</v>
      </c>
      <c r="K55" s="2">
        <f t="shared" si="1"/>
        <v>0</v>
      </c>
    </row>
    <row r="56" spans="1:11" x14ac:dyDescent="0.3">
      <c r="A56" s="23">
        <v>0</v>
      </c>
      <c r="B56" s="23">
        <v>0</v>
      </c>
      <c r="C56" s="23">
        <v>1</v>
      </c>
      <c r="D56" s="23">
        <v>0.27631578947368424</v>
      </c>
      <c r="E56" s="23">
        <v>2</v>
      </c>
      <c r="F56" s="23">
        <v>2</v>
      </c>
      <c r="G56" s="23">
        <v>1.5411575213749284E-2</v>
      </c>
      <c r="H56" s="22">
        <v>1</v>
      </c>
      <c r="I56" s="2">
        <v>1.4158329772974749E-7</v>
      </c>
      <c r="J56" s="2">
        <f t="shared" si="0"/>
        <v>0.11583297729747488</v>
      </c>
      <c r="K56" s="2">
        <f t="shared" si="1"/>
        <v>1</v>
      </c>
    </row>
    <row r="57" spans="1:11" x14ac:dyDescent="0.3">
      <c r="A57" s="23">
        <v>0</v>
      </c>
      <c r="B57" s="23">
        <v>1</v>
      </c>
      <c r="C57" s="23">
        <v>1</v>
      </c>
      <c r="D57" s="23">
        <v>0.375</v>
      </c>
      <c r="E57" s="23">
        <v>0</v>
      </c>
      <c r="F57" s="23">
        <v>0</v>
      </c>
      <c r="G57" s="23">
        <v>5.4107398133856122E-2</v>
      </c>
      <c r="H57" s="22">
        <v>1</v>
      </c>
      <c r="I57" s="2">
        <v>1.4148655518318207E-7</v>
      </c>
      <c r="J57" s="2">
        <f t="shared" si="0"/>
        <v>0.11486555183182068</v>
      </c>
      <c r="K57" s="2">
        <f t="shared" si="1"/>
        <v>1</v>
      </c>
    </row>
    <row r="58" spans="1:11" x14ac:dyDescent="0.3">
      <c r="A58" s="23">
        <v>0</v>
      </c>
      <c r="B58" s="23">
        <v>1</v>
      </c>
      <c r="C58" s="23">
        <v>0</v>
      </c>
      <c r="D58" s="23">
        <v>0.46052631578947367</v>
      </c>
      <c r="E58" s="23">
        <v>0</v>
      </c>
      <c r="F58" s="23">
        <v>0</v>
      </c>
      <c r="G58" s="23">
        <v>0.41282050681475896</v>
      </c>
      <c r="H58" s="22">
        <v>0</v>
      </c>
      <c r="I58" s="2">
        <v>1.4073219740448517E-7</v>
      </c>
      <c r="J58" s="2">
        <f t="shared" si="0"/>
        <v>0.10732197404485166</v>
      </c>
      <c r="K58" s="2">
        <f t="shared" si="1"/>
        <v>0</v>
      </c>
    </row>
    <row r="59" spans="1:11" x14ac:dyDescent="0.3">
      <c r="A59" s="23">
        <v>0</v>
      </c>
      <c r="B59" s="23">
        <v>1</v>
      </c>
      <c r="C59" s="23">
        <v>1</v>
      </c>
      <c r="D59" s="23">
        <v>0.42763157894736842</v>
      </c>
      <c r="E59" s="23">
        <v>0</v>
      </c>
      <c r="F59" s="23">
        <v>0</v>
      </c>
      <c r="G59" s="23">
        <v>0.41282050681475896</v>
      </c>
      <c r="H59" s="22">
        <v>0</v>
      </c>
      <c r="I59" s="2">
        <v>1.4155872068762243E-7</v>
      </c>
      <c r="J59" s="2">
        <f t="shared" si="0"/>
        <v>0.11558720687622426</v>
      </c>
      <c r="K59" s="2">
        <f t="shared" si="1"/>
        <v>1</v>
      </c>
    </row>
    <row r="60" spans="1:11" x14ac:dyDescent="0.3">
      <c r="A60" s="23">
        <v>0</v>
      </c>
      <c r="B60" s="23">
        <v>1</v>
      </c>
      <c r="C60" s="23">
        <v>0</v>
      </c>
      <c r="D60" s="23">
        <v>0.72368421052631582</v>
      </c>
      <c r="E60" s="23">
        <v>1</v>
      </c>
      <c r="F60" s="23">
        <v>4</v>
      </c>
      <c r="G60" s="23">
        <v>5.0163059220516802E-2</v>
      </c>
      <c r="H60" s="22">
        <v>1</v>
      </c>
      <c r="I60" s="2">
        <v>1.4158361866416914E-7</v>
      </c>
      <c r="J60" s="2">
        <f t="shared" si="0"/>
        <v>0.11583618664169149</v>
      </c>
      <c r="K60" s="2">
        <f t="shared" si="1"/>
        <v>1</v>
      </c>
    </row>
    <row r="61" spans="1:11" x14ac:dyDescent="0.3">
      <c r="A61" s="23">
        <v>1</v>
      </c>
      <c r="B61" s="23">
        <v>0</v>
      </c>
      <c r="C61" s="23">
        <v>1</v>
      </c>
      <c r="D61" s="23">
        <v>0.39473684210526316</v>
      </c>
      <c r="E61" s="23">
        <v>0</v>
      </c>
      <c r="F61" s="23">
        <v>0</v>
      </c>
      <c r="G61" s="23">
        <v>2.5374310111545468E-2</v>
      </c>
      <c r="H61" s="22">
        <v>1</v>
      </c>
      <c r="I61" s="2">
        <v>1.4156822933597292E-7</v>
      </c>
      <c r="J61" s="2">
        <f t="shared" si="0"/>
        <v>0.11568229335972902</v>
      </c>
      <c r="K61" s="2">
        <f t="shared" si="1"/>
        <v>1</v>
      </c>
    </row>
    <row r="62" spans="1:11" x14ac:dyDescent="0.3">
      <c r="A62" s="23">
        <v>0</v>
      </c>
      <c r="B62" s="23">
        <v>0</v>
      </c>
      <c r="C62" s="23">
        <v>0</v>
      </c>
      <c r="D62" s="23">
        <v>0.31578947368421051</v>
      </c>
      <c r="E62" s="23">
        <v>0</v>
      </c>
      <c r="F62" s="23">
        <v>0</v>
      </c>
      <c r="G62" s="23">
        <v>1.5126992566498259E-2</v>
      </c>
      <c r="H62" s="22">
        <v>0</v>
      </c>
      <c r="I62" s="2">
        <v>1.2138043047291527E-7</v>
      </c>
      <c r="J62" s="2">
        <f t="shared" si="0"/>
        <v>-8.6195695270847361E-2</v>
      </c>
      <c r="K62" s="2">
        <f t="shared" si="1"/>
        <v>0</v>
      </c>
    </row>
    <row r="63" spans="1:11" x14ac:dyDescent="0.3">
      <c r="A63" s="23">
        <v>0</v>
      </c>
      <c r="B63" s="23">
        <v>0</v>
      </c>
      <c r="C63" s="23">
        <v>1</v>
      </c>
      <c r="D63" s="23">
        <v>7.8947368421052627E-2</v>
      </c>
      <c r="E63" s="23">
        <v>0</v>
      </c>
      <c r="F63" s="23">
        <v>0</v>
      </c>
      <c r="G63" s="23">
        <v>2.9757819776815374E-2</v>
      </c>
      <c r="H63" s="22">
        <v>1</v>
      </c>
      <c r="I63" s="2">
        <v>1.3898606603591735E-7</v>
      </c>
      <c r="J63" s="2">
        <f t="shared" si="0"/>
        <v>8.9860660359173394E-2</v>
      </c>
      <c r="K63" s="2">
        <f t="shared" si="1"/>
        <v>0</v>
      </c>
    </row>
    <row r="64" spans="1:11" x14ac:dyDescent="0.3">
      <c r="A64" s="23">
        <v>0</v>
      </c>
      <c r="B64" s="23">
        <v>1</v>
      </c>
      <c r="C64" s="23">
        <v>1</v>
      </c>
      <c r="D64" s="23">
        <v>0.88157894736842102</v>
      </c>
      <c r="E64" s="23">
        <v>0</v>
      </c>
      <c r="F64" s="23">
        <v>0</v>
      </c>
      <c r="G64" s="23">
        <v>0.43288416900695881</v>
      </c>
      <c r="H64" s="22">
        <v>0</v>
      </c>
      <c r="I64" s="2">
        <v>1.4158249829728515E-7</v>
      </c>
      <c r="J64" s="2">
        <f t="shared" si="0"/>
        <v>0.11582498297285149</v>
      </c>
      <c r="K64" s="2">
        <f t="shared" si="1"/>
        <v>1</v>
      </c>
    </row>
    <row r="65" spans="1:11" x14ac:dyDescent="0.3">
      <c r="A65" s="23">
        <v>0</v>
      </c>
      <c r="B65" s="23">
        <v>1</v>
      </c>
      <c r="C65" s="23">
        <v>1</v>
      </c>
      <c r="D65" s="23">
        <v>0.64473684210526316</v>
      </c>
      <c r="E65" s="23">
        <v>0</v>
      </c>
      <c r="F65" s="23">
        <v>0</v>
      </c>
      <c r="G65" s="23">
        <v>5.0748620223090936E-2</v>
      </c>
      <c r="H65" s="22">
        <v>1</v>
      </c>
      <c r="I65" s="2">
        <v>1.4156749930694007E-7</v>
      </c>
      <c r="J65" s="2">
        <f t="shared" si="0"/>
        <v>0.11567499306940054</v>
      </c>
      <c r="K65" s="2">
        <f t="shared" si="1"/>
        <v>1</v>
      </c>
    </row>
    <row r="66" spans="1:11" x14ac:dyDescent="0.3">
      <c r="A66" s="23">
        <v>0</v>
      </c>
      <c r="B66" s="23">
        <v>0</v>
      </c>
      <c r="C66" s="23">
        <v>0</v>
      </c>
      <c r="D66" s="23">
        <v>0.35526315789473684</v>
      </c>
      <c r="E66" s="23">
        <v>0</v>
      </c>
      <c r="F66" s="23">
        <v>0</v>
      </c>
      <c r="G66" s="23">
        <v>1.5379174171606849E-2</v>
      </c>
      <c r="H66" s="22">
        <v>0</v>
      </c>
      <c r="I66" s="2">
        <v>1.2544034897520254E-7</v>
      </c>
      <c r="J66" s="2">
        <f t="shared" si="0"/>
        <v>-4.5596510247974731E-2</v>
      </c>
      <c r="K66" s="2">
        <f t="shared" si="1"/>
        <v>0</v>
      </c>
    </row>
    <row r="67" spans="1:11" x14ac:dyDescent="0.3">
      <c r="A67" s="23">
        <v>1</v>
      </c>
      <c r="B67" s="23">
        <v>0</v>
      </c>
      <c r="C67" s="23">
        <v>1</v>
      </c>
      <c r="D67" s="23">
        <v>2.6315789473684209E-2</v>
      </c>
      <c r="E67" s="23">
        <v>2</v>
      </c>
      <c r="F67" s="23">
        <v>0</v>
      </c>
      <c r="G67" s="23">
        <v>4.4893010197349668E-2</v>
      </c>
      <c r="H67" s="22">
        <v>1</v>
      </c>
      <c r="I67" s="2">
        <v>1.4157586577344006E-7</v>
      </c>
      <c r="J67" s="2">
        <f t="shared" ref="J67:J130" si="2">I67*10000000 - 1.3</f>
        <v>0.11575865773440053</v>
      </c>
      <c r="K67" s="2">
        <f t="shared" ref="K67:K130" si="3">IF(J67&gt;0.11, 1, 0)</f>
        <v>1</v>
      </c>
    </row>
    <row r="68" spans="1:11" x14ac:dyDescent="0.3">
      <c r="A68" s="23">
        <v>0</v>
      </c>
      <c r="B68" s="23">
        <v>0</v>
      </c>
      <c r="C68" s="23">
        <v>0</v>
      </c>
      <c r="D68" s="23">
        <v>0.28947368421052633</v>
      </c>
      <c r="E68" s="23">
        <v>0</v>
      </c>
      <c r="F68" s="23">
        <v>0</v>
      </c>
      <c r="G68" s="23">
        <v>2.7130993119267845E-2</v>
      </c>
      <c r="H68" s="22">
        <v>0</v>
      </c>
      <c r="I68" s="2">
        <v>1.188844858973908E-7</v>
      </c>
      <c r="J68" s="2">
        <f t="shared" si="2"/>
        <v>-0.11115514102609203</v>
      </c>
      <c r="K68" s="2">
        <f t="shared" si="3"/>
        <v>0</v>
      </c>
    </row>
    <row r="69" spans="1:11" x14ac:dyDescent="0.3">
      <c r="A69" s="23">
        <v>0</v>
      </c>
      <c r="B69" s="23">
        <v>1</v>
      </c>
      <c r="C69" s="23">
        <v>0</v>
      </c>
      <c r="D69" s="23">
        <v>0.35526315789473684</v>
      </c>
      <c r="E69" s="23">
        <v>0</v>
      </c>
      <c r="F69" s="23">
        <v>0</v>
      </c>
      <c r="G69" s="23">
        <v>0.10149724044618187</v>
      </c>
      <c r="H69" s="22">
        <v>1</v>
      </c>
      <c r="I69" s="2">
        <v>1.3756031267287447E-7</v>
      </c>
      <c r="J69" s="2">
        <f t="shared" si="2"/>
        <v>7.5603126728744696E-2</v>
      </c>
      <c r="K69" s="2">
        <f t="shared" si="3"/>
        <v>0</v>
      </c>
    </row>
    <row r="70" spans="1:11" x14ac:dyDescent="0.3">
      <c r="A70" s="23">
        <v>0</v>
      </c>
      <c r="B70" s="23">
        <v>1</v>
      </c>
      <c r="C70" s="23">
        <v>1</v>
      </c>
      <c r="D70" s="23">
        <v>0.32894736842105265</v>
      </c>
      <c r="E70" s="23">
        <v>1</v>
      </c>
      <c r="F70" s="23">
        <v>1</v>
      </c>
      <c r="G70" s="23">
        <v>5.0748620223090936E-2</v>
      </c>
      <c r="H70" s="22">
        <v>1</v>
      </c>
      <c r="I70" s="2">
        <v>1.4158080710335609E-7</v>
      </c>
      <c r="J70" s="2">
        <f t="shared" si="2"/>
        <v>0.11580807103356094</v>
      </c>
      <c r="K70" s="2">
        <f t="shared" si="3"/>
        <v>1</v>
      </c>
    </row>
    <row r="71" spans="1:11" x14ac:dyDescent="0.3">
      <c r="A71" s="23">
        <v>0</v>
      </c>
      <c r="B71" s="23">
        <v>0</v>
      </c>
      <c r="C71" s="23">
        <v>1</v>
      </c>
      <c r="D71" s="23">
        <v>0.32894736842105265</v>
      </c>
      <c r="E71" s="23">
        <v>1</v>
      </c>
      <c r="F71" s="23">
        <v>0</v>
      </c>
      <c r="G71" s="23">
        <v>1.5216388212891242E-2</v>
      </c>
      <c r="H71" s="22">
        <v>0</v>
      </c>
      <c r="I71" s="2">
        <v>1.4147331191709941E-7</v>
      </c>
      <c r="J71" s="2">
        <f t="shared" si="2"/>
        <v>0.11473311917099394</v>
      </c>
      <c r="K71" s="2">
        <f t="shared" si="3"/>
        <v>1</v>
      </c>
    </row>
    <row r="72" spans="1:11" x14ac:dyDescent="0.3">
      <c r="A72" s="23">
        <v>0</v>
      </c>
      <c r="B72" s="23">
        <v>1</v>
      </c>
      <c r="C72" s="23">
        <v>0</v>
      </c>
      <c r="D72" s="23">
        <v>1</v>
      </c>
      <c r="E72" s="23">
        <v>0</v>
      </c>
      <c r="F72" s="23">
        <v>0</v>
      </c>
      <c r="G72" s="23">
        <v>0.15390495017656614</v>
      </c>
      <c r="H72" s="22">
        <v>0</v>
      </c>
      <c r="I72" s="2">
        <v>1.4153560563385479E-7</v>
      </c>
      <c r="J72" s="2">
        <f t="shared" si="2"/>
        <v>0.11535605633854784</v>
      </c>
      <c r="K72" s="2">
        <f t="shared" si="3"/>
        <v>1</v>
      </c>
    </row>
    <row r="73" spans="1:11" x14ac:dyDescent="0.3">
      <c r="A73" s="23">
        <v>0</v>
      </c>
      <c r="B73" s="23">
        <v>1</v>
      </c>
      <c r="C73" s="23">
        <v>0</v>
      </c>
      <c r="D73" s="23">
        <v>0.56578947368421051</v>
      </c>
      <c r="E73" s="23">
        <v>0</v>
      </c>
      <c r="F73" s="23">
        <v>0</v>
      </c>
      <c r="G73" s="23">
        <v>0.1082149914547131</v>
      </c>
      <c r="H73" s="22">
        <v>1</v>
      </c>
      <c r="I73" s="2">
        <v>1.405934066481888E-7</v>
      </c>
      <c r="J73" s="2">
        <f t="shared" si="2"/>
        <v>0.10593406648188797</v>
      </c>
      <c r="K73" s="2">
        <f t="shared" si="3"/>
        <v>0</v>
      </c>
    </row>
    <row r="74" spans="1:11" x14ac:dyDescent="0.3">
      <c r="A74" s="23">
        <v>1</v>
      </c>
      <c r="B74" s="23">
        <v>0</v>
      </c>
      <c r="C74" s="23">
        <v>1</v>
      </c>
      <c r="D74" s="23">
        <v>0.35526315789473684</v>
      </c>
      <c r="E74" s="23">
        <v>0</v>
      </c>
      <c r="F74" s="23">
        <v>0</v>
      </c>
      <c r="G74" s="23">
        <v>5.0748620223090936E-2</v>
      </c>
      <c r="H74" s="22">
        <v>1</v>
      </c>
      <c r="I74" s="2">
        <v>1.4156495573674355E-7</v>
      </c>
      <c r="J74" s="2">
        <f t="shared" si="2"/>
        <v>0.11564955736743543</v>
      </c>
      <c r="K74" s="2">
        <f t="shared" si="3"/>
        <v>1</v>
      </c>
    </row>
    <row r="75" spans="1:11" x14ac:dyDescent="0.3">
      <c r="A75" s="23">
        <v>0</v>
      </c>
      <c r="B75" s="23">
        <v>0</v>
      </c>
      <c r="C75" s="23">
        <v>0</v>
      </c>
      <c r="D75" s="23">
        <v>0.21052631578947367</v>
      </c>
      <c r="E75" s="23">
        <v>1</v>
      </c>
      <c r="F75" s="23">
        <v>1</v>
      </c>
      <c r="G75" s="23">
        <v>1.6623491302076868E-2</v>
      </c>
      <c r="H75" s="22">
        <v>1</v>
      </c>
      <c r="I75" s="2">
        <v>1.4055733610093063E-7</v>
      </c>
      <c r="J75" s="2">
        <f t="shared" si="2"/>
        <v>0.10557336100930614</v>
      </c>
      <c r="K75" s="2">
        <f t="shared" si="3"/>
        <v>0</v>
      </c>
    </row>
    <row r="76" spans="1:11" x14ac:dyDescent="0.3">
      <c r="A76" s="23">
        <v>0</v>
      </c>
      <c r="B76" s="23">
        <v>0</v>
      </c>
      <c r="C76" s="23">
        <v>1</v>
      </c>
      <c r="D76" s="23">
        <v>0.36842105263157893</v>
      </c>
      <c r="E76" s="23">
        <v>1</v>
      </c>
      <c r="F76" s="23">
        <v>0</v>
      </c>
      <c r="G76" s="23">
        <v>4.3965871943273969E-2</v>
      </c>
      <c r="H76" s="22">
        <v>1</v>
      </c>
      <c r="I76" s="2">
        <v>1.4150547841496312E-7</v>
      </c>
      <c r="J76" s="2">
        <f t="shared" si="2"/>
        <v>0.11505478414963122</v>
      </c>
      <c r="K76" s="2">
        <f t="shared" si="3"/>
        <v>1</v>
      </c>
    </row>
    <row r="77" spans="1:11" x14ac:dyDescent="0.3">
      <c r="A77" s="23">
        <v>1</v>
      </c>
      <c r="B77" s="23">
        <v>0</v>
      </c>
      <c r="C77" s="23">
        <v>1</v>
      </c>
      <c r="D77" s="23">
        <v>0.24342105263157895</v>
      </c>
      <c r="E77" s="23">
        <v>1</v>
      </c>
      <c r="F77" s="23">
        <v>2</v>
      </c>
      <c r="G77" s="23">
        <v>2.5374310111545468E-2</v>
      </c>
      <c r="H77" s="22">
        <v>1</v>
      </c>
      <c r="I77" s="2">
        <v>1.4158353815783024E-7</v>
      </c>
      <c r="J77" s="2">
        <f t="shared" si="2"/>
        <v>0.11583538157830242</v>
      </c>
      <c r="K77" s="2">
        <f t="shared" si="3"/>
        <v>1</v>
      </c>
    </row>
    <row r="78" spans="1:11" x14ac:dyDescent="0.3">
      <c r="A78" s="23">
        <v>0</v>
      </c>
      <c r="B78" s="23">
        <v>1</v>
      </c>
      <c r="C78" s="23">
        <v>0</v>
      </c>
      <c r="D78" s="23">
        <v>0.47368421052631576</v>
      </c>
      <c r="E78" s="23">
        <v>0</v>
      </c>
      <c r="F78" s="23">
        <v>0</v>
      </c>
      <c r="G78" s="23">
        <v>6.1833680375820863E-2</v>
      </c>
      <c r="H78" s="22">
        <v>0</v>
      </c>
      <c r="I78" s="2">
        <v>1.3951298318001724E-7</v>
      </c>
      <c r="J78" s="2">
        <f t="shared" si="2"/>
        <v>9.5129831800172315E-2</v>
      </c>
      <c r="K78" s="2">
        <f t="shared" si="3"/>
        <v>0</v>
      </c>
    </row>
    <row r="79" spans="1:11" x14ac:dyDescent="0.3">
      <c r="A79" s="23">
        <v>0</v>
      </c>
      <c r="B79" s="23">
        <v>0</v>
      </c>
      <c r="C79" s="23">
        <v>0</v>
      </c>
      <c r="D79" s="23">
        <v>0.24342105263157895</v>
      </c>
      <c r="E79" s="23">
        <v>0</v>
      </c>
      <c r="F79" s="23">
        <v>0</v>
      </c>
      <c r="G79" s="23">
        <v>1.4216054833493776E-2</v>
      </c>
      <c r="H79" s="22">
        <v>0</v>
      </c>
      <c r="I79" s="2">
        <v>1.119086436781638E-7</v>
      </c>
      <c r="J79" s="2">
        <f t="shared" si="2"/>
        <v>-0.18091356321836205</v>
      </c>
      <c r="K79" s="2">
        <f t="shared" si="3"/>
        <v>0</v>
      </c>
    </row>
    <row r="80" spans="1:11" x14ac:dyDescent="0.3">
      <c r="A80" s="23">
        <v>0</v>
      </c>
      <c r="B80" s="23">
        <v>1</v>
      </c>
      <c r="C80" s="23">
        <v>0</v>
      </c>
      <c r="D80" s="23">
        <v>0.82894736842105265</v>
      </c>
      <c r="E80" s="23">
        <v>1</v>
      </c>
      <c r="F80" s="23">
        <v>0</v>
      </c>
      <c r="G80" s="23">
        <v>0.43288416900695881</v>
      </c>
      <c r="H80" s="22">
        <v>1</v>
      </c>
      <c r="I80" s="2">
        <v>1.4156897997226406E-7</v>
      </c>
      <c r="J80" s="2">
        <f t="shared" si="2"/>
        <v>0.11568979972264049</v>
      </c>
      <c r="K80" s="2">
        <f t="shared" si="3"/>
        <v>1</v>
      </c>
    </row>
    <row r="81" spans="1:11" x14ac:dyDescent="0.3">
      <c r="A81" s="23">
        <v>0</v>
      </c>
      <c r="B81" s="23">
        <v>0</v>
      </c>
      <c r="C81" s="23">
        <v>1</v>
      </c>
      <c r="D81" s="23">
        <v>0.23684210526315788</v>
      </c>
      <c r="E81" s="23">
        <v>0</v>
      </c>
      <c r="F81" s="23">
        <v>0</v>
      </c>
      <c r="G81" s="23">
        <v>2.8212719478023115E-2</v>
      </c>
      <c r="H81" s="22">
        <v>0</v>
      </c>
      <c r="I81" s="2">
        <v>1.4066376934800881E-7</v>
      </c>
      <c r="J81" s="2">
        <f t="shared" si="2"/>
        <v>0.10663769348008811</v>
      </c>
      <c r="K81" s="2">
        <f t="shared" si="3"/>
        <v>0</v>
      </c>
    </row>
    <row r="82" spans="1:11" x14ac:dyDescent="0.3">
      <c r="A82" s="23">
        <v>0</v>
      </c>
      <c r="B82" s="23">
        <v>0</v>
      </c>
      <c r="C82" s="23">
        <v>0</v>
      </c>
      <c r="D82" s="23">
        <v>1.3157894736842105E-2</v>
      </c>
      <c r="E82" s="23">
        <v>0</v>
      </c>
      <c r="F82" s="23">
        <v>0</v>
      </c>
      <c r="G82" s="23">
        <v>3.2596229143293021E-2</v>
      </c>
      <c r="H82" s="22">
        <v>1</v>
      </c>
      <c r="I82" s="2">
        <v>7.2074848420824E-8</v>
      </c>
      <c r="J82" s="2">
        <f t="shared" si="2"/>
        <v>-0.57925151579176004</v>
      </c>
      <c r="K82" s="2">
        <f t="shared" si="3"/>
        <v>0</v>
      </c>
    </row>
    <row r="83" spans="1:11" x14ac:dyDescent="0.3">
      <c r="A83" s="23">
        <v>0</v>
      </c>
      <c r="B83" s="23">
        <v>1</v>
      </c>
      <c r="C83" s="23">
        <v>1</v>
      </c>
      <c r="D83" s="23">
        <v>0.47368421052631576</v>
      </c>
      <c r="E83" s="23">
        <v>0</v>
      </c>
      <c r="F83" s="23">
        <v>0</v>
      </c>
      <c r="G83" s="23">
        <v>0.14686201762460541</v>
      </c>
      <c r="H83" s="22">
        <v>0</v>
      </c>
      <c r="I83" s="2">
        <v>1.415449700232327E-7</v>
      </c>
      <c r="J83" s="2">
        <f t="shared" si="2"/>
        <v>0.11544970023232692</v>
      </c>
      <c r="K83" s="2">
        <f t="shared" si="3"/>
        <v>1</v>
      </c>
    </row>
    <row r="84" spans="1:11" x14ac:dyDescent="0.3">
      <c r="A84" s="23">
        <v>1</v>
      </c>
      <c r="B84" s="23">
        <v>0</v>
      </c>
      <c r="C84" s="23">
        <v>0</v>
      </c>
      <c r="D84" s="23">
        <v>0.38157894736842107</v>
      </c>
      <c r="E84" s="23">
        <v>1</v>
      </c>
      <c r="F84" s="23">
        <v>0</v>
      </c>
      <c r="G84" s="23">
        <v>5.0748620223090936E-2</v>
      </c>
      <c r="H84" s="22">
        <v>1</v>
      </c>
      <c r="I84" s="2">
        <v>1.4144091340244619E-7</v>
      </c>
      <c r="J84" s="2">
        <f t="shared" si="2"/>
        <v>0.11440913402446196</v>
      </c>
      <c r="K84" s="2">
        <f t="shared" si="3"/>
        <v>1</v>
      </c>
    </row>
    <row r="85" spans="1:11" x14ac:dyDescent="0.3">
      <c r="A85" s="23">
        <v>1</v>
      </c>
      <c r="B85" s="23">
        <v>0</v>
      </c>
      <c r="C85" s="23">
        <v>0</v>
      </c>
      <c r="D85" s="23">
        <v>0.15789473684210525</v>
      </c>
      <c r="E85" s="23">
        <v>1</v>
      </c>
      <c r="F85" s="23">
        <v>0</v>
      </c>
      <c r="G85" s="23">
        <v>3.0741952635141623E-2</v>
      </c>
      <c r="H85" s="22">
        <v>0</v>
      </c>
      <c r="I85" s="2">
        <v>1.4091210476214303E-7</v>
      </c>
      <c r="J85" s="2">
        <f t="shared" si="2"/>
        <v>0.10912104762143038</v>
      </c>
      <c r="K85" s="2">
        <f t="shared" si="3"/>
        <v>0</v>
      </c>
    </row>
    <row r="86" spans="1:11" x14ac:dyDescent="0.3">
      <c r="A86" s="23">
        <v>0</v>
      </c>
      <c r="B86" s="23">
        <v>0</v>
      </c>
      <c r="C86" s="23">
        <v>1</v>
      </c>
      <c r="D86" s="23">
        <v>0.36842105263157893</v>
      </c>
      <c r="E86" s="23">
        <v>0</v>
      </c>
      <c r="F86" s="23">
        <v>0</v>
      </c>
      <c r="G86" s="23">
        <v>1.4151057562208049E-2</v>
      </c>
      <c r="H86" s="22">
        <v>0</v>
      </c>
      <c r="I86" s="2">
        <v>1.4118516484610493E-7</v>
      </c>
      <c r="J86" s="2">
        <f t="shared" si="2"/>
        <v>0.11185164846104922</v>
      </c>
      <c r="K86" s="2">
        <f t="shared" si="3"/>
        <v>1</v>
      </c>
    </row>
    <row r="87" spans="1:11" x14ac:dyDescent="0.3">
      <c r="A87" s="23">
        <v>0</v>
      </c>
      <c r="B87" s="23">
        <v>0</v>
      </c>
      <c r="C87" s="23">
        <v>0</v>
      </c>
      <c r="D87" s="23">
        <v>0.22368421052631579</v>
      </c>
      <c r="E87" s="23">
        <v>1</v>
      </c>
      <c r="F87" s="23">
        <v>1</v>
      </c>
      <c r="G87" s="23">
        <v>3.1425107138144774E-2</v>
      </c>
      <c r="H87" s="22">
        <v>1</v>
      </c>
      <c r="I87" s="2">
        <v>1.4068121598250599E-7</v>
      </c>
      <c r="J87" s="2">
        <f t="shared" si="2"/>
        <v>0.10681215982505998</v>
      </c>
      <c r="K87" s="2">
        <f t="shared" si="3"/>
        <v>0</v>
      </c>
    </row>
    <row r="88" spans="1:11" x14ac:dyDescent="0.3">
      <c r="A88" s="23">
        <v>0</v>
      </c>
      <c r="B88" s="23">
        <v>0</v>
      </c>
      <c r="C88" s="23">
        <v>1</v>
      </c>
      <c r="D88" s="23">
        <v>0.28947368421052633</v>
      </c>
      <c r="E88" s="23">
        <v>0</v>
      </c>
      <c r="F88" s="23">
        <v>0</v>
      </c>
      <c r="G88" s="23">
        <v>1.5216388212891242E-2</v>
      </c>
      <c r="H88" s="22">
        <v>0</v>
      </c>
      <c r="I88" s="2">
        <v>1.4091137419415371E-7</v>
      </c>
      <c r="J88" s="2">
        <f t="shared" si="2"/>
        <v>0.10911374194153711</v>
      </c>
      <c r="K88" s="2">
        <f t="shared" si="3"/>
        <v>0</v>
      </c>
    </row>
    <row r="89" spans="1:11" x14ac:dyDescent="0.3">
      <c r="A89" s="23">
        <v>1</v>
      </c>
      <c r="B89" s="23">
        <v>0</v>
      </c>
      <c r="C89" s="23">
        <v>1</v>
      </c>
      <c r="D89" s="23">
        <v>0.55263157894736847</v>
      </c>
      <c r="E89" s="23">
        <v>0</v>
      </c>
      <c r="F89" s="23">
        <v>0</v>
      </c>
      <c r="G89" s="23">
        <v>2.5374310111545468E-2</v>
      </c>
      <c r="H89" s="22">
        <v>0</v>
      </c>
      <c r="I89" s="2">
        <v>1.4157827385283804E-7</v>
      </c>
      <c r="J89" s="2">
        <f t="shared" si="2"/>
        <v>0.1157827385283805</v>
      </c>
      <c r="K89" s="2">
        <f t="shared" si="3"/>
        <v>1</v>
      </c>
    </row>
    <row r="90" spans="1:11" x14ac:dyDescent="0.3">
      <c r="A90" s="23">
        <v>0</v>
      </c>
      <c r="B90" s="23">
        <v>1</v>
      </c>
      <c r="C90" s="23">
        <v>1</v>
      </c>
      <c r="D90" s="23">
        <v>0.69736842105263153</v>
      </c>
      <c r="E90" s="23">
        <v>0</v>
      </c>
      <c r="F90" s="23">
        <v>0</v>
      </c>
      <c r="G90" s="23">
        <v>5.5628295244541985E-2</v>
      </c>
      <c r="H90" s="22">
        <v>0</v>
      </c>
      <c r="I90" s="2">
        <v>1.4157244110373994E-7</v>
      </c>
      <c r="J90" s="2">
        <f t="shared" si="2"/>
        <v>0.11572441103739939</v>
      </c>
      <c r="K90" s="2">
        <f t="shared" si="3"/>
        <v>1</v>
      </c>
    </row>
    <row r="91" spans="1:11" x14ac:dyDescent="0.3">
      <c r="A91" s="23">
        <v>0</v>
      </c>
      <c r="B91" s="23">
        <v>0</v>
      </c>
      <c r="C91" s="23">
        <v>1</v>
      </c>
      <c r="D91" s="23">
        <v>0.56578947368421051</v>
      </c>
      <c r="E91" s="23">
        <v>0</v>
      </c>
      <c r="F91" s="23">
        <v>0</v>
      </c>
      <c r="G91" s="23">
        <v>1.5411575213749284E-2</v>
      </c>
      <c r="H91" s="22">
        <v>0</v>
      </c>
      <c r="I91" s="2">
        <v>1.4147738205437695E-7</v>
      </c>
      <c r="J91" s="2">
        <f t="shared" si="2"/>
        <v>0.11477382054376939</v>
      </c>
      <c r="K91" s="2">
        <f t="shared" si="3"/>
        <v>1</v>
      </c>
    </row>
    <row r="92" spans="1:11" x14ac:dyDescent="0.3">
      <c r="A92" s="23">
        <v>0</v>
      </c>
      <c r="B92" s="23">
        <v>0</v>
      </c>
      <c r="C92" s="23">
        <v>1</v>
      </c>
      <c r="D92" s="23">
        <v>0.34868421052631576</v>
      </c>
      <c r="E92" s="23">
        <v>0</v>
      </c>
      <c r="F92" s="23">
        <v>0</v>
      </c>
      <c r="G92" s="23">
        <v>1.4102260811993537E-2</v>
      </c>
      <c r="H92" s="22">
        <v>1</v>
      </c>
      <c r="I92" s="2">
        <v>1.4112905447005223E-7</v>
      </c>
      <c r="J92" s="2">
        <f t="shared" si="2"/>
        <v>0.11129054470052235</v>
      </c>
      <c r="K92" s="2">
        <f t="shared" si="3"/>
        <v>1</v>
      </c>
    </row>
    <row r="93" spans="1:11" x14ac:dyDescent="0.3">
      <c r="A93" s="23">
        <v>1</v>
      </c>
      <c r="B93" s="23">
        <v>0</v>
      </c>
      <c r="C93" s="23">
        <v>1</v>
      </c>
      <c r="D93" s="23">
        <v>0.34210526315789475</v>
      </c>
      <c r="E93" s="23">
        <v>0</v>
      </c>
      <c r="F93" s="23">
        <v>0</v>
      </c>
      <c r="G93" s="23">
        <v>2.5374310111545468E-2</v>
      </c>
      <c r="H93" s="22">
        <v>1</v>
      </c>
      <c r="I93" s="2">
        <v>1.4156172968494224E-7</v>
      </c>
      <c r="J93" s="2">
        <f t="shared" si="2"/>
        <v>0.11561729684942224</v>
      </c>
      <c r="K93" s="2">
        <f t="shared" si="3"/>
        <v>1</v>
      </c>
    </row>
    <row r="94" spans="1:11" x14ac:dyDescent="0.3">
      <c r="A94" s="23">
        <v>0</v>
      </c>
      <c r="B94" s="23">
        <v>0</v>
      </c>
      <c r="C94" s="23">
        <v>0</v>
      </c>
      <c r="D94" s="23">
        <v>0.30263157894736842</v>
      </c>
      <c r="E94" s="23">
        <v>1</v>
      </c>
      <c r="F94" s="23">
        <v>0</v>
      </c>
      <c r="G94" s="23">
        <v>1.5712553569072387E-2</v>
      </c>
      <c r="H94" s="22">
        <v>1</v>
      </c>
      <c r="I94" s="2">
        <v>1.3619568472591034E-7</v>
      </c>
      <c r="J94" s="2">
        <f t="shared" si="2"/>
        <v>6.195684725910322E-2</v>
      </c>
      <c r="K94" s="2">
        <f t="shared" si="3"/>
        <v>0</v>
      </c>
    </row>
    <row r="95" spans="1:11" x14ac:dyDescent="0.3">
      <c r="A95" s="23">
        <v>0</v>
      </c>
      <c r="B95" s="23">
        <v>0</v>
      </c>
      <c r="C95" s="23">
        <v>1</v>
      </c>
      <c r="D95" s="23">
        <v>0.52631578947368418</v>
      </c>
      <c r="E95" s="23">
        <v>1</v>
      </c>
      <c r="F95" s="23">
        <v>0</v>
      </c>
      <c r="G95" s="23">
        <v>9.1542703402421724E-2</v>
      </c>
      <c r="H95" s="22">
        <v>0</v>
      </c>
      <c r="I95" s="2">
        <v>1.4155985113273276E-7</v>
      </c>
      <c r="J95" s="2">
        <f t="shared" si="2"/>
        <v>0.11559851132732746</v>
      </c>
      <c r="K95" s="2">
        <f t="shared" si="3"/>
        <v>1</v>
      </c>
    </row>
    <row r="96" spans="1:11" x14ac:dyDescent="0.3">
      <c r="A96" s="23">
        <v>0</v>
      </c>
      <c r="B96" s="23">
        <v>1</v>
      </c>
      <c r="C96" s="23">
        <v>0</v>
      </c>
      <c r="D96" s="23">
        <v>0.43421052631578949</v>
      </c>
      <c r="E96" s="23">
        <v>1</v>
      </c>
      <c r="F96" s="23">
        <v>1</v>
      </c>
      <c r="G96" s="23">
        <v>0.29580589980036276</v>
      </c>
      <c r="H96" s="22">
        <v>1</v>
      </c>
      <c r="I96" s="2">
        <v>1.4155360902373665E-7</v>
      </c>
      <c r="J96" s="2">
        <f t="shared" si="2"/>
        <v>0.11553609023736655</v>
      </c>
      <c r="K96" s="2">
        <f t="shared" si="3"/>
        <v>1</v>
      </c>
    </row>
    <row r="97" spans="1:11" x14ac:dyDescent="0.3">
      <c r="A97" s="23">
        <v>0</v>
      </c>
      <c r="B97" s="23">
        <v>1</v>
      </c>
      <c r="C97" s="23">
        <v>1</v>
      </c>
      <c r="D97" s="23">
        <v>0.80263157894736847</v>
      </c>
      <c r="E97" s="23">
        <v>0</v>
      </c>
      <c r="F97" s="23">
        <v>0</v>
      </c>
      <c r="G97" s="23">
        <v>0.51212189350128778</v>
      </c>
      <c r="H97" s="22">
        <v>0</v>
      </c>
      <c r="I97" s="2">
        <v>1.4158209500190064E-7</v>
      </c>
      <c r="J97" s="2">
        <f t="shared" si="2"/>
        <v>0.11582095001900639</v>
      </c>
      <c r="K97" s="2">
        <f t="shared" si="3"/>
        <v>1</v>
      </c>
    </row>
    <row r="98" spans="1:11" x14ac:dyDescent="0.3">
      <c r="A98" s="23">
        <v>1</v>
      </c>
      <c r="B98" s="23">
        <v>0</v>
      </c>
      <c r="C98" s="23">
        <v>1</v>
      </c>
      <c r="D98" s="23">
        <v>0.36842105263157893</v>
      </c>
      <c r="E98" s="23">
        <v>1</v>
      </c>
      <c r="F98" s="23">
        <v>0</v>
      </c>
      <c r="G98" s="23">
        <v>5.0748620223090936E-2</v>
      </c>
      <c r="H98" s="22">
        <v>1</v>
      </c>
      <c r="I98" s="2">
        <v>1.4157998980752224E-7</v>
      </c>
      <c r="J98" s="2">
        <f t="shared" si="2"/>
        <v>0.1157998980752224</v>
      </c>
      <c r="K98" s="2">
        <f t="shared" si="3"/>
        <v>1</v>
      </c>
    </row>
    <row r="99" spans="1:11" x14ac:dyDescent="0.3">
      <c r="A99" s="23">
        <v>0</v>
      </c>
      <c r="B99" s="23">
        <v>1</v>
      </c>
      <c r="C99" s="23">
        <v>1</v>
      </c>
      <c r="D99" s="23">
        <v>0.55263157894736847</v>
      </c>
      <c r="E99" s="23">
        <v>0</v>
      </c>
      <c r="F99" s="23">
        <v>0</v>
      </c>
      <c r="G99" s="23">
        <v>5.1822148727810165E-2</v>
      </c>
      <c r="H99" s="22">
        <v>1</v>
      </c>
      <c r="I99" s="2">
        <v>1.4155384932781647E-7</v>
      </c>
      <c r="J99" s="2">
        <f t="shared" si="2"/>
        <v>0.11553849327816468</v>
      </c>
      <c r="K99" s="2">
        <f t="shared" si="3"/>
        <v>1</v>
      </c>
    </row>
    <row r="100" spans="1:11" x14ac:dyDescent="0.3">
      <c r="A100" s="23">
        <v>0</v>
      </c>
      <c r="B100" s="23">
        <v>0</v>
      </c>
      <c r="C100" s="23">
        <v>1</v>
      </c>
      <c r="D100" s="23">
        <v>0.28947368421052633</v>
      </c>
      <c r="E100" s="23">
        <v>1</v>
      </c>
      <c r="F100" s="23">
        <v>0</v>
      </c>
      <c r="G100" s="23">
        <v>1.5712553569072387E-2</v>
      </c>
      <c r="H100" s="22">
        <v>1</v>
      </c>
      <c r="I100" s="2">
        <v>1.4144020081293353E-7</v>
      </c>
      <c r="J100" s="2">
        <f t="shared" si="2"/>
        <v>0.11440200812933532</v>
      </c>
      <c r="K100" s="2">
        <f t="shared" si="3"/>
        <v>1</v>
      </c>
    </row>
    <row r="101" spans="1:11" x14ac:dyDescent="0.3">
      <c r="A101" s="23">
        <v>1</v>
      </c>
      <c r="B101" s="23">
        <v>0</v>
      </c>
      <c r="C101" s="23">
        <v>1</v>
      </c>
      <c r="D101" s="23">
        <v>0.39473684210526316</v>
      </c>
      <c r="E101" s="23">
        <v>0</v>
      </c>
      <c r="F101" s="23">
        <v>0</v>
      </c>
      <c r="G101" s="23">
        <v>5.0748620223090936E-2</v>
      </c>
      <c r="H101" s="22">
        <v>0</v>
      </c>
      <c r="I101" s="2">
        <v>1.4156928962522014E-7</v>
      </c>
      <c r="J101" s="2">
        <f t="shared" si="2"/>
        <v>0.11569289625220147</v>
      </c>
      <c r="K101" s="2">
        <f t="shared" si="3"/>
        <v>1</v>
      </c>
    </row>
    <row r="102" spans="1:11" x14ac:dyDescent="0.3">
      <c r="A102" s="23">
        <v>0</v>
      </c>
      <c r="B102" s="23">
        <v>0</v>
      </c>
      <c r="C102" s="23">
        <v>1</v>
      </c>
      <c r="D102" s="23">
        <v>0.79605263157894735</v>
      </c>
      <c r="E102" s="23">
        <v>0</v>
      </c>
      <c r="F102" s="23">
        <v>1</v>
      </c>
      <c r="G102" s="23">
        <v>0</v>
      </c>
      <c r="H102" s="22">
        <v>1</v>
      </c>
      <c r="I102" s="2">
        <v>1.4158126447078349E-7</v>
      </c>
      <c r="J102" s="2">
        <f t="shared" si="2"/>
        <v>0.11581264470783492</v>
      </c>
      <c r="K102" s="2">
        <f t="shared" si="3"/>
        <v>1</v>
      </c>
    </row>
    <row r="103" spans="1:11" x14ac:dyDescent="0.3">
      <c r="A103" s="23">
        <v>0</v>
      </c>
      <c r="B103" s="23">
        <v>0</v>
      </c>
      <c r="C103" s="23">
        <v>0</v>
      </c>
      <c r="D103" s="23">
        <v>0.47368421052631576</v>
      </c>
      <c r="E103" s="23">
        <v>0</v>
      </c>
      <c r="F103" s="23">
        <v>0</v>
      </c>
      <c r="G103" s="23">
        <v>2.3780217875537836E-2</v>
      </c>
      <c r="H103" s="22">
        <v>0</v>
      </c>
      <c r="I103" s="2">
        <v>1.338619090129136E-7</v>
      </c>
      <c r="J103" s="2">
        <f t="shared" si="2"/>
        <v>3.8619090129135891E-2</v>
      </c>
      <c r="K103" s="2">
        <f t="shared" si="3"/>
        <v>0</v>
      </c>
    </row>
    <row r="104" spans="1:11" x14ac:dyDescent="0.3">
      <c r="A104" s="23">
        <v>0</v>
      </c>
      <c r="B104" s="23">
        <v>0</v>
      </c>
      <c r="C104" s="23">
        <v>1</v>
      </c>
      <c r="D104" s="23">
        <v>0.31578947368421051</v>
      </c>
      <c r="E104" s="23">
        <v>0</v>
      </c>
      <c r="F104" s="23">
        <v>0</v>
      </c>
      <c r="G104" s="23">
        <v>1.4736618564782174E-2</v>
      </c>
      <c r="H104" s="22">
        <v>0</v>
      </c>
      <c r="I104" s="2">
        <v>1.4101865365090844E-7</v>
      </c>
      <c r="J104" s="2">
        <f t="shared" si="2"/>
        <v>0.11018653650908439</v>
      </c>
      <c r="K104" s="2">
        <f t="shared" si="3"/>
        <v>1</v>
      </c>
    </row>
    <row r="105" spans="1:11" x14ac:dyDescent="0.3">
      <c r="A105" s="23">
        <v>0</v>
      </c>
      <c r="B105" s="23">
        <v>1</v>
      </c>
      <c r="C105" s="23">
        <v>0</v>
      </c>
      <c r="D105" s="23">
        <v>0.38157894736842107</v>
      </c>
      <c r="E105" s="23">
        <v>0</v>
      </c>
      <c r="F105" s="23">
        <v>0</v>
      </c>
      <c r="G105" s="23">
        <v>0.43288416900695881</v>
      </c>
      <c r="H105" s="22">
        <v>0</v>
      </c>
      <c r="I105" s="2">
        <v>1.4022457515675469E-7</v>
      </c>
      <c r="J105" s="2">
        <f t="shared" si="2"/>
        <v>0.10224575156754678</v>
      </c>
      <c r="K105" s="2">
        <f t="shared" si="3"/>
        <v>0</v>
      </c>
    </row>
    <row r="106" spans="1:11" x14ac:dyDescent="0.3">
      <c r="A106" s="23">
        <v>0</v>
      </c>
      <c r="B106" s="23">
        <v>0</v>
      </c>
      <c r="C106" s="23">
        <v>0</v>
      </c>
      <c r="D106" s="23">
        <v>0.30263157894736842</v>
      </c>
      <c r="E106" s="23">
        <v>0</v>
      </c>
      <c r="F106" s="23">
        <v>0</v>
      </c>
      <c r="G106" s="23">
        <v>1.5330377421392339E-2</v>
      </c>
      <c r="H106" s="22">
        <v>0</v>
      </c>
      <c r="I106" s="2">
        <v>1.1987317602830046E-7</v>
      </c>
      <c r="J106" s="2">
        <f t="shared" si="2"/>
        <v>-0.1012682397169955</v>
      </c>
      <c r="K106" s="2">
        <f t="shared" si="3"/>
        <v>0</v>
      </c>
    </row>
    <row r="107" spans="1:11" x14ac:dyDescent="0.3">
      <c r="A107" s="23">
        <v>0</v>
      </c>
      <c r="B107" s="23">
        <v>1</v>
      </c>
      <c r="C107" s="23">
        <v>1</v>
      </c>
      <c r="D107" s="23">
        <v>0.55263157894736847</v>
      </c>
      <c r="E107" s="23">
        <v>0</v>
      </c>
      <c r="F107" s="23">
        <v>0</v>
      </c>
      <c r="G107" s="23">
        <v>5.1822148727810165E-2</v>
      </c>
      <c r="H107" s="22">
        <v>0</v>
      </c>
      <c r="I107" s="2">
        <v>1.4155384932781647E-7</v>
      </c>
      <c r="J107" s="2">
        <f t="shared" si="2"/>
        <v>0.11553849327816468</v>
      </c>
      <c r="K107" s="2">
        <f t="shared" si="3"/>
        <v>1</v>
      </c>
    </row>
    <row r="108" spans="1:11" x14ac:dyDescent="0.3">
      <c r="A108" s="23">
        <v>1</v>
      </c>
      <c r="B108" s="23">
        <v>0</v>
      </c>
      <c r="C108" s="23">
        <v>0</v>
      </c>
      <c r="D108" s="23">
        <v>0.34210526315789475</v>
      </c>
      <c r="E108" s="23">
        <v>0</v>
      </c>
      <c r="F108" s="23">
        <v>0</v>
      </c>
      <c r="G108" s="23">
        <v>2.6350245115835676E-2</v>
      </c>
      <c r="H108" s="22">
        <v>0</v>
      </c>
      <c r="I108" s="2">
        <v>1.406539276943261E-7</v>
      </c>
      <c r="J108" s="2">
        <f t="shared" si="2"/>
        <v>0.10653927694326093</v>
      </c>
      <c r="K108" s="2">
        <f t="shared" si="3"/>
        <v>0</v>
      </c>
    </row>
    <row r="109" spans="1:11" x14ac:dyDescent="0.3">
      <c r="A109" s="23">
        <v>1</v>
      </c>
      <c r="B109" s="23">
        <v>0</v>
      </c>
      <c r="C109" s="23">
        <v>1</v>
      </c>
      <c r="D109" s="23">
        <v>0.53947368421052633</v>
      </c>
      <c r="E109" s="23">
        <v>0</v>
      </c>
      <c r="F109" s="23">
        <v>0</v>
      </c>
      <c r="G109" s="23">
        <v>2.5374310111545468E-2</v>
      </c>
      <c r="H109" s="22">
        <v>0</v>
      </c>
      <c r="I109" s="2">
        <v>1.4157778114730506E-7</v>
      </c>
      <c r="J109" s="2">
        <f t="shared" si="2"/>
        <v>0.11577781147305055</v>
      </c>
      <c r="K109" s="2">
        <f t="shared" si="3"/>
        <v>1</v>
      </c>
    </row>
    <row r="110" spans="1:11" x14ac:dyDescent="0.3">
      <c r="A110" s="23">
        <v>0</v>
      </c>
      <c r="B110" s="23">
        <v>0</v>
      </c>
      <c r="C110" s="23">
        <v>0</v>
      </c>
      <c r="D110" s="23">
        <v>0.34210526315789475</v>
      </c>
      <c r="E110" s="23">
        <v>0</v>
      </c>
      <c r="F110" s="23">
        <v>0</v>
      </c>
      <c r="G110" s="23">
        <v>4.2989936938983758E-2</v>
      </c>
      <c r="H110" s="22">
        <v>0</v>
      </c>
      <c r="I110" s="2">
        <v>1.2529466505666594E-7</v>
      </c>
      <c r="J110" s="2">
        <f t="shared" si="2"/>
        <v>-4.7053349433340719E-2</v>
      </c>
      <c r="K110" s="2">
        <f t="shared" si="3"/>
        <v>0</v>
      </c>
    </row>
    <row r="111" spans="1:11" x14ac:dyDescent="0.3">
      <c r="A111" s="23">
        <v>0</v>
      </c>
      <c r="B111" s="23">
        <v>1</v>
      </c>
      <c r="C111" s="23">
        <v>1</v>
      </c>
      <c r="D111" s="23">
        <v>0.63157894736842102</v>
      </c>
      <c r="E111" s="23">
        <v>0</v>
      </c>
      <c r="F111" s="23">
        <v>0</v>
      </c>
      <c r="G111" s="23">
        <v>9.8561237579275207E-2</v>
      </c>
      <c r="H111" s="22">
        <v>0</v>
      </c>
      <c r="I111" s="2">
        <v>1.4156823048459351E-7</v>
      </c>
      <c r="J111" s="2">
        <f t="shared" si="2"/>
        <v>0.115682304845935</v>
      </c>
      <c r="K111" s="2">
        <f t="shared" si="3"/>
        <v>1</v>
      </c>
    </row>
    <row r="112" spans="1:11" x14ac:dyDescent="0.3">
      <c r="A112" s="23">
        <v>0</v>
      </c>
      <c r="B112" s="23">
        <v>0</v>
      </c>
      <c r="C112" s="23">
        <v>1</v>
      </c>
      <c r="D112" s="23">
        <v>0.23684210526315788</v>
      </c>
      <c r="E112" s="23">
        <v>0</v>
      </c>
      <c r="F112" s="23">
        <v>0</v>
      </c>
      <c r="G112" s="23">
        <v>6.7095531544951958E-2</v>
      </c>
      <c r="H112" s="22">
        <v>1</v>
      </c>
      <c r="I112" s="2">
        <v>1.4075839134365944E-7</v>
      </c>
      <c r="J112" s="2">
        <f t="shared" si="2"/>
        <v>0.10758391343659435</v>
      </c>
      <c r="K112" s="2">
        <f t="shared" si="3"/>
        <v>0</v>
      </c>
    </row>
    <row r="113" spans="1:11" x14ac:dyDescent="0.3">
      <c r="A113" s="23">
        <v>0</v>
      </c>
      <c r="B113" s="23">
        <v>0</v>
      </c>
      <c r="C113" s="23">
        <v>0</v>
      </c>
      <c r="D113" s="23">
        <v>0.28947368421052633</v>
      </c>
      <c r="E113" s="23">
        <v>1</v>
      </c>
      <c r="F113" s="23">
        <v>6</v>
      </c>
      <c r="G113" s="23">
        <v>1.749363495190202E-2</v>
      </c>
      <c r="H113" s="22">
        <v>0</v>
      </c>
      <c r="I113" s="2">
        <v>1.4158362123887373E-7</v>
      </c>
      <c r="J113" s="2">
        <f t="shared" si="2"/>
        <v>0.11583621238873731</v>
      </c>
      <c r="K113" s="2">
        <f t="shared" si="3"/>
        <v>1</v>
      </c>
    </row>
    <row r="114" spans="1:11" x14ac:dyDescent="0.3">
      <c r="A114" s="23">
        <v>0</v>
      </c>
      <c r="B114" s="23">
        <v>0</v>
      </c>
      <c r="C114" s="23">
        <v>1</v>
      </c>
      <c r="D114" s="23">
        <v>0.35526315789473684</v>
      </c>
      <c r="E114" s="23">
        <v>5</v>
      </c>
      <c r="F114" s="23">
        <v>2</v>
      </c>
      <c r="G114" s="23">
        <v>1.4102260811993537E-2</v>
      </c>
      <c r="H114" s="22">
        <v>0</v>
      </c>
      <c r="I114" s="2">
        <v>1.4158362525024098E-7</v>
      </c>
      <c r="J114" s="2">
        <f t="shared" si="2"/>
        <v>0.1158362525024097</v>
      </c>
      <c r="K114" s="2">
        <f t="shared" si="3"/>
        <v>1</v>
      </c>
    </row>
    <row r="115" spans="1:11" x14ac:dyDescent="0.3">
      <c r="A115" s="23">
        <v>0</v>
      </c>
      <c r="B115" s="23">
        <v>0</v>
      </c>
      <c r="C115" s="23">
        <v>1</v>
      </c>
      <c r="D115" s="23">
        <v>0.30263157894736842</v>
      </c>
      <c r="E115" s="23">
        <v>0</v>
      </c>
      <c r="F115" s="23">
        <v>0</v>
      </c>
      <c r="G115" s="23">
        <v>2.7130993119267845E-2</v>
      </c>
      <c r="H115" s="22">
        <v>1</v>
      </c>
      <c r="I115" s="2">
        <v>1.4098793808373181E-7</v>
      </c>
      <c r="J115" s="2">
        <f t="shared" si="2"/>
        <v>0.10987938083731796</v>
      </c>
      <c r="K115" s="2">
        <f t="shared" si="3"/>
        <v>0</v>
      </c>
    </row>
    <row r="116" spans="1:11" x14ac:dyDescent="0.3">
      <c r="A116" s="23">
        <v>0</v>
      </c>
      <c r="B116" s="23">
        <v>0</v>
      </c>
      <c r="C116" s="23">
        <v>1</v>
      </c>
      <c r="D116" s="23">
        <v>0.52631578947368418</v>
      </c>
      <c r="E116" s="23">
        <v>1</v>
      </c>
      <c r="F116" s="23">
        <v>3</v>
      </c>
      <c r="G116" s="23">
        <v>6.1264319894317944E-2</v>
      </c>
      <c r="H116" s="22">
        <v>0</v>
      </c>
      <c r="I116" s="2">
        <v>1.4158360174770959E-7</v>
      </c>
      <c r="J116" s="2">
        <f t="shared" si="2"/>
        <v>0.11583601747709582</v>
      </c>
      <c r="K116" s="2">
        <f t="shared" si="3"/>
        <v>1</v>
      </c>
    </row>
    <row r="117" spans="1:11" x14ac:dyDescent="0.3">
      <c r="A117" s="23">
        <v>1</v>
      </c>
      <c r="B117" s="23">
        <v>0</v>
      </c>
      <c r="C117" s="23">
        <v>0</v>
      </c>
      <c r="D117" s="23">
        <v>0.19736842105263158</v>
      </c>
      <c r="E117" s="23">
        <v>0</v>
      </c>
      <c r="F117" s="23">
        <v>0</v>
      </c>
      <c r="G117" s="23">
        <v>7.6122930334636393E-2</v>
      </c>
      <c r="H117" s="22">
        <v>0</v>
      </c>
      <c r="I117" s="2">
        <v>1.3947554506990141E-7</v>
      </c>
      <c r="J117" s="2">
        <f t="shared" si="2"/>
        <v>9.4755450699014032E-2</v>
      </c>
      <c r="K117" s="2">
        <f t="shared" si="3"/>
        <v>0</v>
      </c>
    </row>
    <row r="118" spans="1:11" x14ac:dyDescent="0.3">
      <c r="A118" s="23">
        <v>1</v>
      </c>
      <c r="B118" s="23">
        <v>0</v>
      </c>
      <c r="C118" s="23">
        <v>0</v>
      </c>
      <c r="D118" s="23">
        <v>0.26315789473684209</v>
      </c>
      <c r="E118" s="23">
        <v>0</v>
      </c>
      <c r="F118" s="23">
        <v>0</v>
      </c>
      <c r="G118" s="23">
        <v>7.1731222815330453E-2</v>
      </c>
      <c r="H118" s="22">
        <v>0</v>
      </c>
      <c r="I118" s="2">
        <v>1.4020098789209709E-7</v>
      </c>
      <c r="J118" s="2">
        <f t="shared" si="2"/>
        <v>0.10200987892097091</v>
      </c>
      <c r="K118" s="2">
        <f t="shared" si="3"/>
        <v>0</v>
      </c>
    </row>
    <row r="119" spans="1:11" x14ac:dyDescent="0.3">
      <c r="A119" s="23">
        <v>0</v>
      </c>
      <c r="B119" s="23">
        <v>1</v>
      </c>
      <c r="C119" s="23">
        <v>1</v>
      </c>
      <c r="D119" s="23">
        <v>0.71052631578947367</v>
      </c>
      <c r="E119" s="23">
        <v>3</v>
      </c>
      <c r="F119" s="23">
        <v>0</v>
      </c>
      <c r="G119" s="23">
        <v>0.1082149914547131</v>
      </c>
      <c r="H119" s="22">
        <v>0</v>
      </c>
      <c r="I119" s="2">
        <v>1.4158354208612021E-7</v>
      </c>
      <c r="J119" s="2">
        <f t="shared" si="2"/>
        <v>0.11583542086120202</v>
      </c>
      <c r="K119" s="2">
        <f t="shared" si="3"/>
        <v>1</v>
      </c>
    </row>
    <row r="120" spans="1:11" x14ac:dyDescent="0.3">
      <c r="A120" s="23">
        <v>0</v>
      </c>
      <c r="B120" s="23">
        <v>1</v>
      </c>
      <c r="C120" s="23">
        <v>0</v>
      </c>
      <c r="D120" s="23">
        <v>0.84210526315789469</v>
      </c>
      <c r="E120" s="23">
        <v>0</v>
      </c>
      <c r="F120" s="23">
        <v>0</v>
      </c>
      <c r="G120" s="23">
        <v>0.16231419173453318</v>
      </c>
      <c r="H120" s="22">
        <v>0</v>
      </c>
      <c r="I120" s="2">
        <v>1.4144881528619023E-7</v>
      </c>
      <c r="J120" s="2">
        <f t="shared" si="2"/>
        <v>0.11448815286190217</v>
      </c>
      <c r="K120" s="2">
        <f t="shared" si="3"/>
        <v>1</v>
      </c>
    </row>
    <row r="121" spans="1:11" x14ac:dyDescent="0.3">
      <c r="A121" s="23">
        <v>0</v>
      </c>
      <c r="B121" s="23">
        <v>1</v>
      </c>
      <c r="C121" s="23">
        <v>1</v>
      </c>
      <c r="D121" s="23">
        <v>0.48684210526315791</v>
      </c>
      <c r="E121" s="23">
        <v>1</v>
      </c>
      <c r="F121" s="23">
        <v>1</v>
      </c>
      <c r="G121" s="23">
        <v>0.16231419173453318</v>
      </c>
      <c r="H121" s="22">
        <v>0</v>
      </c>
      <c r="I121" s="2">
        <v>1.4158291076201312E-7</v>
      </c>
      <c r="J121" s="2">
        <f t="shared" si="2"/>
        <v>0.11582910762013121</v>
      </c>
      <c r="K121" s="2">
        <f t="shared" si="3"/>
        <v>1</v>
      </c>
    </row>
    <row r="122" spans="1:11" x14ac:dyDescent="0.3">
      <c r="A122" s="23">
        <v>0</v>
      </c>
      <c r="B122" s="23">
        <v>1</v>
      </c>
      <c r="C122" s="23">
        <v>0</v>
      </c>
      <c r="D122" s="23">
        <v>0.23684210526315788</v>
      </c>
      <c r="E122" s="23">
        <v>0</v>
      </c>
      <c r="F122" s="23">
        <v>1</v>
      </c>
      <c r="G122" s="23">
        <v>0.10364429745562033</v>
      </c>
      <c r="H122" s="22">
        <v>1</v>
      </c>
      <c r="I122" s="2">
        <v>1.4068264397014439E-7</v>
      </c>
      <c r="J122" s="2">
        <f t="shared" si="2"/>
        <v>0.10682643970144379</v>
      </c>
      <c r="K122" s="2">
        <f t="shared" si="3"/>
        <v>0</v>
      </c>
    </row>
    <row r="123" spans="1:11" x14ac:dyDescent="0.3">
      <c r="A123" s="23">
        <v>1</v>
      </c>
      <c r="B123" s="23">
        <v>0</v>
      </c>
      <c r="C123" s="23">
        <v>1</v>
      </c>
      <c r="D123" s="23">
        <v>0.52631578947368418</v>
      </c>
      <c r="E123" s="23">
        <v>0</v>
      </c>
      <c r="F123" s="23">
        <v>0</v>
      </c>
      <c r="G123" s="23">
        <v>3.1229920137286728E-2</v>
      </c>
      <c r="H123" s="22">
        <v>0</v>
      </c>
      <c r="I123" s="2">
        <v>1.4157734735203752E-7</v>
      </c>
      <c r="J123" s="2">
        <f t="shared" si="2"/>
        <v>0.11577347352037526</v>
      </c>
      <c r="K123" s="2">
        <f t="shared" si="3"/>
        <v>1</v>
      </c>
    </row>
    <row r="124" spans="1:11" x14ac:dyDescent="0.3">
      <c r="A124" s="23">
        <v>1</v>
      </c>
      <c r="B124" s="23">
        <v>0</v>
      </c>
      <c r="C124" s="23">
        <v>0</v>
      </c>
      <c r="D124" s="23">
        <v>0.27631578947368424</v>
      </c>
      <c r="E124" s="23">
        <v>0</v>
      </c>
      <c r="F124" s="23">
        <v>2</v>
      </c>
      <c r="G124" s="23">
        <v>4.098927018018883E-2</v>
      </c>
      <c r="H124" s="22">
        <v>1</v>
      </c>
      <c r="I124" s="2">
        <v>1.4156985017927757E-7</v>
      </c>
      <c r="J124" s="2">
        <f t="shared" si="2"/>
        <v>0.11569850179277563</v>
      </c>
      <c r="K124" s="2">
        <f t="shared" si="3"/>
        <v>1</v>
      </c>
    </row>
    <row r="125" spans="1:11" x14ac:dyDescent="0.3">
      <c r="A125" s="23">
        <v>0</v>
      </c>
      <c r="B125" s="23">
        <v>0</v>
      </c>
      <c r="C125" s="23">
        <v>1</v>
      </c>
      <c r="D125" s="23">
        <v>0.22368421052631579</v>
      </c>
      <c r="E125" s="23">
        <v>4</v>
      </c>
      <c r="F125" s="23">
        <v>2</v>
      </c>
      <c r="G125" s="23">
        <v>1.5712553569072387E-2</v>
      </c>
      <c r="H125" s="22">
        <v>0</v>
      </c>
      <c r="I125" s="2">
        <v>1.4158360594801288E-7</v>
      </c>
      <c r="J125" s="2">
        <f t="shared" si="2"/>
        <v>0.11583605948012887</v>
      </c>
      <c r="K125" s="2">
        <f t="shared" si="3"/>
        <v>1</v>
      </c>
    </row>
    <row r="126" spans="1:11" x14ac:dyDescent="0.3">
      <c r="A126" s="23">
        <v>1</v>
      </c>
      <c r="B126" s="23">
        <v>0</v>
      </c>
      <c r="C126" s="23">
        <v>1</v>
      </c>
      <c r="D126" s="23">
        <v>0.52631578947368418</v>
      </c>
      <c r="E126" s="23">
        <v>0</v>
      </c>
      <c r="F126" s="23">
        <v>0</v>
      </c>
      <c r="G126" s="23">
        <v>2.5374310111545468E-2</v>
      </c>
      <c r="H126" s="22">
        <v>0</v>
      </c>
      <c r="I126" s="2">
        <v>1.4157724309645443E-7</v>
      </c>
      <c r="J126" s="2">
        <f t="shared" si="2"/>
        <v>0.11577243096454426</v>
      </c>
      <c r="K126" s="2">
        <f t="shared" si="3"/>
        <v>1</v>
      </c>
    </row>
    <row r="127" spans="1:11" x14ac:dyDescent="0.3">
      <c r="A127" s="23">
        <v>1</v>
      </c>
      <c r="B127" s="23">
        <v>0</v>
      </c>
      <c r="C127" s="23">
        <v>1</v>
      </c>
      <c r="D127" s="23">
        <v>0.44736842105263158</v>
      </c>
      <c r="E127" s="23">
        <v>0</v>
      </c>
      <c r="F127" s="23">
        <v>0</v>
      </c>
      <c r="G127" s="23">
        <v>5.0748620223090936E-2</v>
      </c>
      <c r="H127" s="22">
        <v>1</v>
      </c>
      <c r="I127" s="2">
        <v>1.4157354550431305E-7</v>
      </c>
      <c r="J127" s="2">
        <f t="shared" si="2"/>
        <v>0.11573545504313043</v>
      </c>
      <c r="K127" s="2">
        <f t="shared" si="3"/>
        <v>1</v>
      </c>
    </row>
    <row r="128" spans="1:11" x14ac:dyDescent="0.3">
      <c r="A128" s="23">
        <v>0</v>
      </c>
      <c r="B128" s="23">
        <v>0</v>
      </c>
      <c r="C128" s="23">
        <v>1</v>
      </c>
      <c r="D128" s="23">
        <v>0.15131578947368421</v>
      </c>
      <c r="E128" s="23">
        <v>0</v>
      </c>
      <c r="F128" s="23">
        <v>0</v>
      </c>
      <c r="G128" s="23">
        <v>2.8302115124416098E-2</v>
      </c>
      <c r="H128" s="22">
        <v>1</v>
      </c>
      <c r="I128" s="2">
        <v>1.3996325152094303E-7</v>
      </c>
      <c r="J128" s="2">
        <f t="shared" si="2"/>
        <v>9.9632515209430172E-2</v>
      </c>
      <c r="K128" s="2">
        <f t="shared" si="3"/>
        <v>0</v>
      </c>
    </row>
    <row r="129" spans="1:11" x14ac:dyDescent="0.3">
      <c r="A129" s="23">
        <v>1</v>
      </c>
      <c r="B129" s="23">
        <v>0</v>
      </c>
      <c r="C129" s="23">
        <v>1</v>
      </c>
      <c r="D129" s="23">
        <v>0.80263157894736847</v>
      </c>
      <c r="E129" s="23">
        <v>0</v>
      </c>
      <c r="F129" s="23">
        <v>0</v>
      </c>
      <c r="G129" s="23">
        <v>2.4105594605968193E-2</v>
      </c>
      <c r="H129" s="22">
        <v>0</v>
      </c>
      <c r="I129" s="2">
        <v>1.4158261872781581E-7</v>
      </c>
      <c r="J129" s="2">
        <f t="shared" si="2"/>
        <v>0.11582618727815808</v>
      </c>
      <c r="K129" s="2">
        <f t="shared" si="3"/>
        <v>1</v>
      </c>
    </row>
    <row r="130" spans="1:11" x14ac:dyDescent="0.3">
      <c r="A130" s="23">
        <v>1</v>
      </c>
      <c r="B130" s="23">
        <v>0</v>
      </c>
      <c r="C130" s="23">
        <v>1</v>
      </c>
      <c r="D130" s="23">
        <v>0.10526315789473684</v>
      </c>
      <c r="E130" s="23">
        <v>0</v>
      </c>
      <c r="F130" s="23">
        <v>2</v>
      </c>
      <c r="G130" s="23">
        <v>6.3435775278863668E-2</v>
      </c>
      <c r="H130" s="22">
        <v>1</v>
      </c>
      <c r="I130" s="2">
        <v>1.4158267985235843E-7</v>
      </c>
      <c r="J130" s="2">
        <f t="shared" si="2"/>
        <v>0.11582679852358435</v>
      </c>
      <c r="K130" s="2">
        <f t="shared" si="3"/>
        <v>1</v>
      </c>
    </row>
    <row r="131" spans="1:11" x14ac:dyDescent="0.3">
      <c r="A131" s="23">
        <v>0</v>
      </c>
      <c r="B131" s="23">
        <v>1</v>
      </c>
      <c r="C131" s="23">
        <v>1</v>
      </c>
      <c r="D131" s="23">
        <v>7.8947368421052627E-2</v>
      </c>
      <c r="E131" s="23">
        <v>1</v>
      </c>
      <c r="F131" s="23">
        <v>1</v>
      </c>
      <c r="G131" s="23">
        <v>0.26252651615406658</v>
      </c>
      <c r="H131" s="22">
        <v>1</v>
      </c>
      <c r="I131" s="2">
        <v>1.4157534487585925E-7</v>
      </c>
      <c r="J131" s="2">
        <f t="shared" ref="J131:J194" si="4">I131*10000000 - 1.3</f>
        <v>0.1157534487585925</v>
      </c>
      <c r="K131" s="2">
        <f t="shared" ref="K131:K194" si="5">IF(J131&gt;0.11, 1, 0)</f>
        <v>1</v>
      </c>
    </row>
    <row r="132" spans="1:11" x14ac:dyDescent="0.3">
      <c r="A132" s="23">
        <v>0</v>
      </c>
      <c r="B132" s="23">
        <v>0</v>
      </c>
      <c r="C132" s="23">
        <v>0</v>
      </c>
      <c r="D132" s="23">
        <v>0.23684210526315788</v>
      </c>
      <c r="E132" s="23">
        <v>0</v>
      </c>
      <c r="F132" s="23">
        <v>0</v>
      </c>
      <c r="G132" s="23">
        <v>1.5175789316712771E-2</v>
      </c>
      <c r="H132" s="22">
        <v>1</v>
      </c>
      <c r="I132" s="2">
        <v>1.1098423021119218E-7</v>
      </c>
      <c r="J132" s="2">
        <f t="shared" si="4"/>
        <v>-0.19015769788807835</v>
      </c>
      <c r="K132" s="2">
        <f t="shared" si="5"/>
        <v>0</v>
      </c>
    </row>
    <row r="133" spans="1:11" x14ac:dyDescent="0.3">
      <c r="A133" s="23">
        <v>0</v>
      </c>
      <c r="B133" s="23">
        <v>0</v>
      </c>
      <c r="C133" s="23">
        <v>1</v>
      </c>
      <c r="D133" s="23">
        <v>4.3421052631578945E-3</v>
      </c>
      <c r="E133" s="23">
        <v>0</v>
      </c>
      <c r="F133" s="23">
        <v>0</v>
      </c>
      <c r="G133" s="23">
        <v>2.8106928123558056E-2</v>
      </c>
      <c r="H133" s="22">
        <v>0</v>
      </c>
      <c r="I133" s="2">
        <v>1.3734433553291561E-7</v>
      </c>
      <c r="J133" s="2">
        <f t="shared" si="4"/>
        <v>7.3443355329156024E-2</v>
      </c>
      <c r="K133" s="2">
        <f t="shared" si="5"/>
        <v>0</v>
      </c>
    </row>
    <row r="134" spans="1:11" x14ac:dyDescent="0.3">
      <c r="A134" s="23">
        <v>0</v>
      </c>
      <c r="B134" s="23">
        <v>1</v>
      </c>
      <c r="C134" s="23">
        <v>1</v>
      </c>
      <c r="D134" s="23">
        <v>0.61842105263157898</v>
      </c>
      <c r="E134" s="23">
        <v>1</v>
      </c>
      <c r="F134" s="23">
        <v>1</v>
      </c>
      <c r="G134" s="23">
        <v>0.44409922370226018</v>
      </c>
      <c r="H134" s="22">
        <v>1</v>
      </c>
      <c r="I134" s="2">
        <v>1.415834926623712E-7</v>
      </c>
      <c r="J134" s="2">
        <f t="shared" si="4"/>
        <v>0.11583492662371198</v>
      </c>
      <c r="K134" s="2">
        <f t="shared" si="5"/>
        <v>1</v>
      </c>
    </row>
    <row r="135" spans="1:11" x14ac:dyDescent="0.3">
      <c r="A135" s="23">
        <v>1</v>
      </c>
      <c r="B135" s="23">
        <v>0</v>
      </c>
      <c r="C135" s="23">
        <v>0</v>
      </c>
      <c r="D135" s="23">
        <v>0.10526315789473684</v>
      </c>
      <c r="E135" s="23">
        <v>0</v>
      </c>
      <c r="F135" s="23">
        <v>0</v>
      </c>
      <c r="G135" s="23">
        <v>5.0748620223090936E-2</v>
      </c>
      <c r="H135" s="22">
        <v>0</v>
      </c>
      <c r="I135" s="2">
        <v>1.3746185213636395E-7</v>
      </c>
      <c r="J135" s="2">
        <f t="shared" si="4"/>
        <v>7.4618521363639445E-2</v>
      </c>
      <c r="K135" s="2">
        <f t="shared" si="5"/>
        <v>0</v>
      </c>
    </row>
    <row r="136" spans="1:11" x14ac:dyDescent="0.3">
      <c r="A136" s="23">
        <v>1</v>
      </c>
      <c r="B136" s="23">
        <v>0</v>
      </c>
      <c r="C136" s="23">
        <v>1</v>
      </c>
      <c r="D136" s="23">
        <v>0.32894736842105265</v>
      </c>
      <c r="E136" s="23">
        <v>2</v>
      </c>
      <c r="F136" s="23">
        <v>2</v>
      </c>
      <c r="G136" s="23">
        <v>2.0494635090094415E-2</v>
      </c>
      <c r="H136" s="22">
        <v>0</v>
      </c>
      <c r="I136" s="2">
        <v>1.4158361630130509E-7</v>
      </c>
      <c r="J136" s="2">
        <f t="shared" si="4"/>
        <v>0.11583616301305089</v>
      </c>
      <c r="K136" s="2">
        <f t="shared" si="5"/>
        <v>1</v>
      </c>
    </row>
    <row r="137" spans="1:11" x14ac:dyDescent="0.3">
      <c r="A137" s="23">
        <v>1</v>
      </c>
      <c r="B137" s="23">
        <v>0</v>
      </c>
      <c r="C137" s="23">
        <v>1</v>
      </c>
      <c r="D137" s="23">
        <v>0.31578947368421051</v>
      </c>
      <c r="E137" s="23">
        <v>0</v>
      </c>
      <c r="F137" s="23">
        <v>0</v>
      </c>
      <c r="G137" s="23">
        <v>2.0494635090094415E-2</v>
      </c>
      <c r="H137" s="22">
        <v>1</v>
      </c>
      <c r="I137" s="2">
        <v>1.4155715337685171E-7</v>
      </c>
      <c r="J137" s="2">
        <f t="shared" si="4"/>
        <v>0.11557153376851703</v>
      </c>
      <c r="K137" s="2">
        <f t="shared" si="5"/>
        <v>1</v>
      </c>
    </row>
    <row r="138" spans="1:11" x14ac:dyDescent="0.3">
      <c r="A138" s="23">
        <v>0</v>
      </c>
      <c r="B138" s="23">
        <v>0</v>
      </c>
      <c r="C138" s="23">
        <v>1</v>
      </c>
      <c r="D138" s="23">
        <v>0.32894736842105265</v>
      </c>
      <c r="E138" s="23">
        <v>0</v>
      </c>
      <c r="F138" s="23">
        <v>0</v>
      </c>
      <c r="G138" s="23">
        <v>1.5411575213749284E-2</v>
      </c>
      <c r="H138" s="22">
        <v>0</v>
      </c>
      <c r="I138" s="2">
        <v>1.4106704505146065E-7</v>
      </c>
      <c r="J138" s="2">
        <f t="shared" si="4"/>
        <v>0.11067045051460633</v>
      </c>
      <c r="K138" s="2">
        <f t="shared" si="5"/>
        <v>1</v>
      </c>
    </row>
    <row r="139" spans="1:11" x14ac:dyDescent="0.3">
      <c r="A139" s="23">
        <v>0</v>
      </c>
      <c r="B139" s="23">
        <v>0</v>
      </c>
      <c r="C139" s="23">
        <v>1</v>
      </c>
      <c r="D139" s="23">
        <v>0.42105263157894735</v>
      </c>
      <c r="E139" s="23">
        <v>1</v>
      </c>
      <c r="F139" s="23">
        <v>0</v>
      </c>
      <c r="G139" s="23">
        <v>4.3965871943273969E-2</v>
      </c>
      <c r="H139" s="22">
        <v>0</v>
      </c>
      <c r="I139" s="2">
        <v>1.4152866709054034E-7</v>
      </c>
      <c r="J139" s="2">
        <f t="shared" si="4"/>
        <v>0.11528667090540323</v>
      </c>
      <c r="K139" s="2">
        <f t="shared" si="5"/>
        <v>1</v>
      </c>
    </row>
    <row r="140" spans="1:11" x14ac:dyDescent="0.3">
      <c r="A140" s="23">
        <v>1</v>
      </c>
      <c r="B140" s="23">
        <v>0</v>
      </c>
      <c r="C140" s="23">
        <v>0</v>
      </c>
      <c r="D140" s="23">
        <v>0.78947368421052633</v>
      </c>
      <c r="E140" s="23">
        <v>1</v>
      </c>
      <c r="F140" s="23">
        <v>5</v>
      </c>
      <c r="G140" s="23">
        <v>5.0748620223090936E-2</v>
      </c>
      <c r="H140" s="22">
        <v>0</v>
      </c>
      <c r="I140" s="2">
        <v>1.4158362703616836E-7</v>
      </c>
      <c r="J140" s="2">
        <f t="shared" si="4"/>
        <v>0.11583627036168354</v>
      </c>
      <c r="K140" s="2">
        <f t="shared" si="5"/>
        <v>1</v>
      </c>
    </row>
    <row r="141" spans="1:11" x14ac:dyDescent="0.3">
      <c r="A141" s="23">
        <v>0</v>
      </c>
      <c r="B141" s="23">
        <v>0</v>
      </c>
      <c r="C141" s="23">
        <v>0</v>
      </c>
      <c r="D141" s="23">
        <v>0.5</v>
      </c>
      <c r="E141" s="23">
        <v>0</v>
      </c>
      <c r="F141" s="23">
        <v>2</v>
      </c>
      <c r="G141" s="23">
        <v>1.5175789316712771E-2</v>
      </c>
      <c r="H141" s="22">
        <v>1</v>
      </c>
      <c r="I141" s="2">
        <v>1.4151371892929654E-7</v>
      </c>
      <c r="J141" s="2">
        <f t="shared" si="4"/>
        <v>0.11513718929296535</v>
      </c>
      <c r="K141" s="2">
        <f t="shared" si="5"/>
        <v>1</v>
      </c>
    </row>
    <row r="142" spans="1:11" x14ac:dyDescent="0.3">
      <c r="A142" s="23">
        <v>0</v>
      </c>
      <c r="B142" s="23">
        <v>1</v>
      </c>
      <c r="C142" s="23">
        <v>1</v>
      </c>
      <c r="D142" s="23">
        <v>0.55263157894736847</v>
      </c>
      <c r="E142" s="23">
        <v>0</v>
      </c>
      <c r="F142" s="23">
        <v>0</v>
      </c>
      <c r="G142" s="23">
        <v>8.2954475364667865E-2</v>
      </c>
      <c r="H142" s="22">
        <v>1</v>
      </c>
      <c r="I142" s="2">
        <v>1.4155634484040672E-7</v>
      </c>
      <c r="J142" s="2">
        <f t="shared" si="4"/>
        <v>0.11556344840406707</v>
      </c>
      <c r="K142" s="2">
        <f t="shared" si="5"/>
        <v>1</v>
      </c>
    </row>
    <row r="143" spans="1:11" x14ac:dyDescent="0.3">
      <c r="A143" s="23">
        <v>0</v>
      </c>
      <c r="B143" s="23">
        <v>1</v>
      </c>
      <c r="C143" s="23">
        <v>1</v>
      </c>
      <c r="D143" s="23">
        <v>0.75</v>
      </c>
      <c r="E143" s="23">
        <v>1</v>
      </c>
      <c r="F143" s="23">
        <v>0</v>
      </c>
      <c r="G143" s="23">
        <v>0.32179836714362564</v>
      </c>
      <c r="H143" s="22">
        <v>0</v>
      </c>
      <c r="I143" s="2">
        <v>1.4158283557200965E-7</v>
      </c>
      <c r="J143" s="2">
        <f t="shared" si="4"/>
        <v>0.11582835572009653</v>
      </c>
      <c r="K143" s="2">
        <f t="shared" si="5"/>
        <v>1</v>
      </c>
    </row>
    <row r="144" spans="1:11" x14ac:dyDescent="0.3">
      <c r="A144" s="23">
        <v>0</v>
      </c>
      <c r="B144" s="23">
        <v>1</v>
      </c>
      <c r="C144" s="23">
        <v>0</v>
      </c>
      <c r="D144" s="23">
        <v>0.65789473684210531</v>
      </c>
      <c r="E144" s="23">
        <v>0</v>
      </c>
      <c r="F144" s="23">
        <v>3</v>
      </c>
      <c r="G144" s="23">
        <v>0.41282050681475896</v>
      </c>
      <c r="H144" s="22">
        <v>1</v>
      </c>
      <c r="I144" s="2">
        <v>1.4158340279052315E-7</v>
      </c>
      <c r="J144" s="2">
        <f t="shared" si="4"/>
        <v>0.11583402790523145</v>
      </c>
      <c r="K144" s="2">
        <f t="shared" si="5"/>
        <v>1</v>
      </c>
    </row>
    <row r="145" spans="1:11" x14ac:dyDescent="0.3">
      <c r="A145" s="23">
        <v>1</v>
      </c>
      <c r="B145" s="23">
        <v>0</v>
      </c>
      <c r="C145" s="23">
        <v>0</v>
      </c>
      <c r="D145" s="23">
        <v>0.39473684210526316</v>
      </c>
      <c r="E145" s="23">
        <v>0</v>
      </c>
      <c r="F145" s="23">
        <v>2</v>
      </c>
      <c r="G145" s="23">
        <v>2.7049600139910042E-2</v>
      </c>
      <c r="H145" s="22">
        <v>1</v>
      </c>
      <c r="I145" s="2">
        <v>1.4157714008125831E-7</v>
      </c>
      <c r="J145" s="2">
        <f t="shared" si="4"/>
        <v>0.11577140081258297</v>
      </c>
      <c r="K145" s="2">
        <f t="shared" si="5"/>
        <v>1</v>
      </c>
    </row>
    <row r="146" spans="1:11" x14ac:dyDescent="0.3">
      <c r="A146" s="23">
        <v>0</v>
      </c>
      <c r="B146" s="23">
        <v>0</v>
      </c>
      <c r="C146" s="23">
        <v>1</v>
      </c>
      <c r="D146" s="23">
        <v>0.27631578947368424</v>
      </c>
      <c r="E146" s="23">
        <v>0</v>
      </c>
      <c r="F146" s="23">
        <v>0</v>
      </c>
      <c r="G146" s="23">
        <v>1.5712553569072387E-2</v>
      </c>
      <c r="H146" s="22">
        <v>0</v>
      </c>
      <c r="I146" s="2">
        <v>1.4085089188000415E-7</v>
      </c>
      <c r="J146" s="2">
        <f t="shared" si="4"/>
        <v>0.10850891880004143</v>
      </c>
      <c r="K146" s="2">
        <f t="shared" si="5"/>
        <v>0</v>
      </c>
    </row>
    <row r="147" spans="1:11" x14ac:dyDescent="0.3">
      <c r="A147" s="23">
        <v>1</v>
      </c>
      <c r="B147" s="23">
        <v>0</v>
      </c>
      <c r="C147" s="23">
        <v>0</v>
      </c>
      <c r="D147" s="23">
        <v>0.28947368421052633</v>
      </c>
      <c r="E147" s="23">
        <v>1</v>
      </c>
      <c r="F147" s="23">
        <v>1</v>
      </c>
      <c r="G147" s="23">
        <v>2.0494635090094415E-2</v>
      </c>
      <c r="H147" s="22">
        <v>0</v>
      </c>
      <c r="I147" s="2">
        <v>1.4155501231380105E-7</v>
      </c>
      <c r="J147" s="2">
        <f t="shared" si="4"/>
        <v>0.1155501231380105</v>
      </c>
      <c r="K147" s="2">
        <f t="shared" si="5"/>
        <v>1</v>
      </c>
    </row>
    <row r="148" spans="1:11" x14ac:dyDescent="0.3">
      <c r="A148" s="23">
        <v>0</v>
      </c>
      <c r="B148" s="23">
        <v>0</v>
      </c>
      <c r="C148" s="23">
        <v>1</v>
      </c>
      <c r="D148" s="23">
        <v>0.27631578947368424</v>
      </c>
      <c r="E148" s="23">
        <v>1</v>
      </c>
      <c r="F148" s="23">
        <v>0</v>
      </c>
      <c r="G148" s="23">
        <v>1.5216388212891242E-2</v>
      </c>
      <c r="H148" s="22">
        <v>1</v>
      </c>
      <c r="I148" s="2">
        <v>1.4142679824600422E-7</v>
      </c>
      <c r="J148" s="2">
        <f t="shared" si="4"/>
        <v>0.11426798246004211</v>
      </c>
      <c r="K148" s="2">
        <f t="shared" si="5"/>
        <v>1</v>
      </c>
    </row>
    <row r="149" spans="1:11" x14ac:dyDescent="0.3">
      <c r="A149" s="23">
        <v>0</v>
      </c>
      <c r="B149" s="23">
        <v>0</v>
      </c>
      <c r="C149" s="23">
        <v>1</v>
      </c>
      <c r="D149" s="23">
        <v>0.30263157894736842</v>
      </c>
      <c r="E149" s="23">
        <v>1</v>
      </c>
      <c r="F149" s="23">
        <v>1</v>
      </c>
      <c r="G149" s="23">
        <v>1.5216388212891242E-2</v>
      </c>
      <c r="H149" s="22">
        <v>1</v>
      </c>
      <c r="I149" s="2">
        <v>1.4157054875728691E-7</v>
      </c>
      <c r="J149" s="2">
        <f t="shared" si="4"/>
        <v>0.11570548757286914</v>
      </c>
      <c r="K149" s="2">
        <f t="shared" si="5"/>
        <v>1</v>
      </c>
    </row>
    <row r="150" spans="1:11" x14ac:dyDescent="0.3">
      <c r="A150" s="23">
        <v>0</v>
      </c>
      <c r="B150" s="23">
        <v>0</v>
      </c>
      <c r="C150" s="23">
        <v>1</v>
      </c>
      <c r="D150" s="23">
        <v>0.53289473684210531</v>
      </c>
      <c r="E150" s="23">
        <v>0</v>
      </c>
      <c r="F150" s="23">
        <v>0</v>
      </c>
      <c r="G150" s="23">
        <v>2.9473237129564348E-2</v>
      </c>
      <c r="H150" s="22">
        <v>0</v>
      </c>
      <c r="I150" s="2">
        <v>1.4145637676245401E-7</v>
      </c>
      <c r="J150" s="2">
        <f t="shared" si="4"/>
        <v>0.11456376762454012</v>
      </c>
      <c r="K150" s="2">
        <f t="shared" si="5"/>
        <v>1</v>
      </c>
    </row>
    <row r="151" spans="1:11" x14ac:dyDescent="0.3">
      <c r="A151" s="23">
        <v>1</v>
      </c>
      <c r="B151" s="23">
        <v>0</v>
      </c>
      <c r="C151" s="23">
        <v>1</v>
      </c>
      <c r="D151" s="23">
        <v>0.47368421052631576</v>
      </c>
      <c r="E151" s="23">
        <v>0</v>
      </c>
      <c r="F151" s="23">
        <v>1</v>
      </c>
      <c r="G151" s="23">
        <v>2.5374310111545468E-2</v>
      </c>
      <c r="H151" s="22">
        <v>1</v>
      </c>
      <c r="I151" s="2">
        <v>1.415827252195964E-7</v>
      </c>
      <c r="J151" s="2">
        <f t="shared" si="4"/>
        <v>0.11582725219596401</v>
      </c>
      <c r="K151" s="2">
        <f t="shared" si="5"/>
        <v>1</v>
      </c>
    </row>
    <row r="152" spans="1:11" x14ac:dyDescent="0.3">
      <c r="A152" s="23">
        <v>1</v>
      </c>
      <c r="B152" s="23">
        <v>0</v>
      </c>
      <c r="C152" s="23">
        <v>1</v>
      </c>
      <c r="D152" s="23">
        <v>0.18421052631578946</v>
      </c>
      <c r="E152" s="23">
        <v>2</v>
      </c>
      <c r="F152" s="23">
        <v>0</v>
      </c>
      <c r="G152" s="23">
        <v>0.12687155055772734</v>
      </c>
      <c r="H152" s="22">
        <v>0</v>
      </c>
      <c r="I152" s="2">
        <v>1.4158148440845042E-7</v>
      </c>
      <c r="J152" s="2">
        <f t="shared" si="4"/>
        <v>0.11581484408450415</v>
      </c>
      <c r="K152" s="2">
        <f t="shared" si="5"/>
        <v>1</v>
      </c>
    </row>
    <row r="153" spans="1:11" x14ac:dyDescent="0.3">
      <c r="A153" s="23">
        <v>0</v>
      </c>
      <c r="B153" s="23">
        <v>0</v>
      </c>
      <c r="C153" s="23">
        <v>1</v>
      </c>
      <c r="D153" s="23">
        <v>0.27631578947368424</v>
      </c>
      <c r="E153" s="23">
        <v>0</v>
      </c>
      <c r="F153" s="23">
        <v>0</v>
      </c>
      <c r="G153" s="23">
        <v>1.2678957201736696E-2</v>
      </c>
      <c r="H153" s="22">
        <v>0</v>
      </c>
      <c r="I153" s="2">
        <v>1.4084465291562512E-7</v>
      </c>
      <c r="J153" s="2">
        <f t="shared" si="4"/>
        <v>0.10844652915625108</v>
      </c>
      <c r="K153" s="2">
        <f t="shared" si="5"/>
        <v>0</v>
      </c>
    </row>
    <row r="154" spans="1:11" x14ac:dyDescent="0.3">
      <c r="A154" s="23">
        <v>0</v>
      </c>
      <c r="B154" s="23">
        <v>1</v>
      </c>
      <c r="C154" s="23">
        <v>1</v>
      </c>
      <c r="D154" s="23">
        <v>0.51315789473684215</v>
      </c>
      <c r="E154" s="23">
        <v>1</v>
      </c>
      <c r="F154" s="23">
        <v>0</v>
      </c>
      <c r="G154" s="23">
        <v>0.13913573538264068</v>
      </c>
      <c r="H154" s="22">
        <v>0</v>
      </c>
      <c r="I154" s="2">
        <v>1.4157717277601076E-7</v>
      </c>
      <c r="J154" s="2">
        <f t="shared" si="4"/>
        <v>0.11577172776010758</v>
      </c>
      <c r="K154" s="2">
        <f t="shared" si="5"/>
        <v>1</v>
      </c>
    </row>
    <row r="155" spans="1:11" x14ac:dyDescent="0.3">
      <c r="A155" s="23">
        <v>0</v>
      </c>
      <c r="B155" s="23">
        <v>1</v>
      </c>
      <c r="C155" s="23">
        <v>1</v>
      </c>
      <c r="D155" s="23">
        <v>0.84210526315789469</v>
      </c>
      <c r="E155" s="23">
        <v>1</v>
      </c>
      <c r="F155" s="23">
        <v>1</v>
      </c>
      <c r="G155" s="23">
        <v>0.14687821814567664</v>
      </c>
      <c r="H155" s="22">
        <v>1</v>
      </c>
      <c r="I155" s="2">
        <v>1.4158355770089177E-7</v>
      </c>
      <c r="J155" s="2">
        <f t="shared" si="4"/>
        <v>0.11583557700891767</v>
      </c>
      <c r="K155" s="2">
        <f t="shared" si="5"/>
        <v>1</v>
      </c>
    </row>
    <row r="156" spans="1:11" x14ac:dyDescent="0.3">
      <c r="A156" s="23">
        <v>0</v>
      </c>
      <c r="B156" s="23">
        <v>0</v>
      </c>
      <c r="C156" s="23">
        <v>1</v>
      </c>
      <c r="D156" s="23">
        <v>0.26315789473684209</v>
      </c>
      <c r="E156" s="23">
        <v>0</v>
      </c>
      <c r="F156" s="23">
        <v>0</v>
      </c>
      <c r="G156" s="23">
        <v>1.4102260811993537E-2</v>
      </c>
      <c r="H156" s="22">
        <v>0</v>
      </c>
      <c r="I156" s="2">
        <v>1.4078029124694284E-7</v>
      </c>
      <c r="J156" s="2">
        <f t="shared" si="4"/>
        <v>0.10780291246942841</v>
      </c>
      <c r="K156" s="2">
        <f t="shared" si="5"/>
        <v>0</v>
      </c>
    </row>
    <row r="157" spans="1:11" x14ac:dyDescent="0.3">
      <c r="A157" s="23">
        <v>1</v>
      </c>
      <c r="B157" s="23">
        <v>0</v>
      </c>
      <c r="C157" s="23">
        <v>0</v>
      </c>
      <c r="D157" s="23">
        <v>0.23684210526315788</v>
      </c>
      <c r="E157" s="23">
        <v>0</v>
      </c>
      <c r="F157" s="23">
        <v>2</v>
      </c>
      <c r="G157" s="23">
        <v>2.5374310111545468E-2</v>
      </c>
      <c r="H157" s="22">
        <v>1</v>
      </c>
      <c r="I157" s="2">
        <v>1.4156488046733158E-7</v>
      </c>
      <c r="J157" s="2">
        <f t="shared" si="4"/>
        <v>0.11564880467331573</v>
      </c>
      <c r="K157" s="2">
        <f t="shared" si="5"/>
        <v>1</v>
      </c>
    </row>
    <row r="158" spans="1:11" x14ac:dyDescent="0.3">
      <c r="A158" s="23">
        <v>0</v>
      </c>
      <c r="B158" s="23">
        <v>1</v>
      </c>
      <c r="C158" s="23">
        <v>0</v>
      </c>
      <c r="D158" s="23">
        <v>0.63157894736842102</v>
      </c>
      <c r="E158" s="23">
        <v>0</v>
      </c>
      <c r="F158" s="23">
        <v>0</v>
      </c>
      <c r="G158" s="23">
        <v>0.20772776566317125</v>
      </c>
      <c r="H158" s="22">
        <v>0</v>
      </c>
      <c r="I158" s="2">
        <v>1.4109963499263162E-7</v>
      </c>
      <c r="J158" s="2">
        <f t="shared" si="4"/>
        <v>0.11099634992631624</v>
      </c>
      <c r="K158" s="2">
        <f t="shared" si="5"/>
        <v>1</v>
      </c>
    </row>
    <row r="159" spans="1:11" x14ac:dyDescent="0.3">
      <c r="A159" s="23">
        <v>0</v>
      </c>
      <c r="B159" s="23">
        <v>1</v>
      </c>
      <c r="C159" s="23">
        <v>0</v>
      </c>
      <c r="D159" s="23">
        <v>0.72368421052631582</v>
      </c>
      <c r="E159" s="23">
        <v>0</v>
      </c>
      <c r="F159" s="23">
        <v>2</v>
      </c>
      <c r="G159" s="23">
        <v>5.4107398133856122E-2</v>
      </c>
      <c r="H159" s="22">
        <v>1</v>
      </c>
      <c r="I159" s="2">
        <v>1.4157963979580788E-7</v>
      </c>
      <c r="J159" s="2">
        <f t="shared" si="4"/>
        <v>0.11579639795807872</v>
      </c>
      <c r="K159" s="2">
        <f t="shared" si="5"/>
        <v>1</v>
      </c>
    </row>
    <row r="160" spans="1:11" x14ac:dyDescent="0.3">
      <c r="A160" s="23">
        <v>1</v>
      </c>
      <c r="B160" s="23">
        <v>0</v>
      </c>
      <c r="C160" s="23">
        <v>0</v>
      </c>
      <c r="D160" s="23">
        <v>0.59210526315789469</v>
      </c>
      <c r="E160" s="23">
        <v>0</v>
      </c>
      <c r="F160" s="23">
        <v>0</v>
      </c>
      <c r="G160" s="23">
        <v>5.8556100257412612E-2</v>
      </c>
      <c r="H160" s="22">
        <v>1</v>
      </c>
      <c r="I160" s="2">
        <v>1.4142321278607388E-7</v>
      </c>
      <c r="J160" s="2">
        <f t="shared" si="4"/>
        <v>0.11423212786073877</v>
      </c>
      <c r="K160" s="2">
        <f t="shared" si="5"/>
        <v>1</v>
      </c>
    </row>
    <row r="161" spans="1:11" x14ac:dyDescent="0.3">
      <c r="A161" s="23">
        <v>0</v>
      </c>
      <c r="B161" s="23">
        <v>1</v>
      </c>
      <c r="C161" s="23">
        <v>1</v>
      </c>
      <c r="D161" s="23">
        <v>0.59210526315789469</v>
      </c>
      <c r="E161" s="23">
        <v>0</v>
      </c>
      <c r="F161" s="23">
        <v>0</v>
      </c>
      <c r="G161" s="23">
        <v>0.26252651615406658</v>
      </c>
      <c r="H161" s="22">
        <v>0</v>
      </c>
      <c r="I161" s="2">
        <v>1.4157098239381201E-7</v>
      </c>
      <c r="J161" s="2">
        <f t="shared" si="4"/>
        <v>0.11570982393812002</v>
      </c>
      <c r="K161" s="2">
        <f t="shared" si="5"/>
        <v>1</v>
      </c>
    </row>
    <row r="162" spans="1:11" x14ac:dyDescent="0.3">
      <c r="A162" s="23">
        <v>1</v>
      </c>
      <c r="B162" s="23">
        <v>0</v>
      </c>
      <c r="C162" s="23">
        <v>1</v>
      </c>
      <c r="D162" s="23">
        <v>0.55263157894736847</v>
      </c>
      <c r="E162" s="23">
        <v>0</v>
      </c>
      <c r="F162" s="23">
        <v>2</v>
      </c>
      <c r="G162" s="23">
        <v>6.3435775278863668E-2</v>
      </c>
      <c r="H162" s="22">
        <v>1</v>
      </c>
      <c r="I162" s="2">
        <v>1.4158357966579488E-7</v>
      </c>
      <c r="J162" s="2">
        <f t="shared" si="4"/>
        <v>0.11583579665794885</v>
      </c>
      <c r="K162" s="2">
        <f t="shared" si="5"/>
        <v>1</v>
      </c>
    </row>
    <row r="163" spans="1:11" x14ac:dyDescent="0.3">
      <c r="A163" s="23">
        <v>1</v>
      </c>
      <c r="B163" s="23">
        <v>0</v>
      </c>
      <c r="C163" s="23">
        <v>0</v>
      </c>
      <c r="D163" s="23">
        <v>0.38157894736842107</v>
      </c>
      <c r="E163" s="23">
        <v>1</v>
      </c>
      <c r="F163" s="23">
        <v>0</v>
      </c>
      <c r="G163" s="23">
        <v>5.0748620223090936E-2</v>
      </c>
      <c r="H163" s="22">
        <v>1</v>
      </c>
      <c r="I163" s="2">
        <v>1.4144091340244619E-7</v>
      </c>
      <c r="J163" s="2">
        <f t="shared" si="4"/>
        <v>0.11440913402446196</v>
      </c>
      <c r="K163" s="2">
        <f t="shared" si="5"/>
        <v>1</v>
      </c>
    </row>
    <row r="164" spans="1:11" x14ac:dyDescent="0.3">
      <c r="A164" s="23">
        <v>1</v>
      </c>
      <c r="B164" s="23">
        <v>0</v>
      </c>
      <c r="C164" s="23">
        <v>0</v>
      </c>
      <c r="D164" s="23">
        <v>1.2105263157894737E-2</v>
      </c>
      <c r="E164" s="23">
        <v>1</v>
      </c>
      <c r="F164" s="23">
        <v>1</v>
      </c>
      <c r="G164" s="23">
        <v>5.4164392738106672E-2</v>
      </c>
      <c r="H164" s="22">
        <v>1</v>
      </c>
      <c r="I164" s="2">
        <v>1.414172608463289E-7</v>
      </c>
      <c r="J164" s="2">
        <f t="shared" si="4"/>
        <v>0.1141726084632888</v>
      </c>
      <c r="K164" s="2">
        <f t="shared" si="5"/>
        <v>1</v>
      </c>
    </row>
    <row r="165" spans="1:11" x14ac:dyDescent="0.3">
      <c r="A165" s="23">
        <v>0</v>
      </c>
      <c r="B165" s="23">
        <v>0</v>
      </c>
      <c r="C165" s="23">
        <v>1</v>
      </c>
      <c r="D165" s="23">
        <v>0.26315789473684209</v>
      </c>
      <c r="E165" s="23">
        <v>0</v>
      </c>
      <c r="F165" s="23">
        <v>0</v>
      </c>
      <c r="G165" s="23">
        <v>1.5468569817999833E-2</v>
      </c>
      <c r="H165" s="22">
        <v>0</v>
      </c>
      <c r="I165" s="2">
        <v>1.4078335140166358E-7</v>
      </c>
      <c r="J165" s="2">
        <f t="shared" si="4"/>
        <v>0.10783351401663577</v>
      </c>
      <c r="K165" s="2">
        <f t="shared" si="5"/>
        <v>0</v>
      </c>
    </row>
    <row r="166" spans="1:11" x14ac:dyDescent="0.3">
      <c r="A166" s="23">
        <v>0</v>
      </c>
      <c r="B166" s="23">
        <v>0</v>
      </c>
      <c r="C166" s="23">
        <v>1</v>
      </c>
      <c r="D166" s="23">
        <v>0.31578947368421051</v>
      </c>
      <c r="E166" s="23">
        <v>0</v>
      </c>
      <c r="F166" s="23">
        <v>0</v>
      </c>
      <c r="G166" s="23">
        <v>1.8201187830012421E-2</v>
      </c>
      <c r="H166" s="22">
        <v>1</v>
      </c>
      <c r="I166" s="2">
        <v>1.4102410580358211E-7</v>
      </c>
      <c r="J166" s="2">
        <f t="shared" si="4"/>
        <v>0.11024105803582107</v>
      </c>
      <c r="K166" s="2">
        <f t="shared" si="5"/>
        <v>1</v>
      </c>
    </row>
    <row r="167" spans="1:11" x14ac:dyDescent="0.3">
      <c r="A167" s="23">
        <v>0</v>
      </c>
      <c r="B167" s="23">
        <v>0</v>
      </c>
      <c r="C167" s="23">
        <v>1</v>
      </c>
      <c r="D167" s="23">
        <v>0.42763157894736842</v>
      </c>
      <c r="E167" s="23">
        <v>0</v>
      </c>
      <c r="F167" s="23">
        <v>0</v>
      </c>
      <c r="G167" s="23">
        <v>1.8542765081513996E-2</v>
      </c>
      <c r="H167" s="22">
        <v>0</v>
      </c>
      <c r="I167" s="2">
        <v>1.4131851635754035E-7</v>
      </c>
      <c r="J167" s="2">
        <f t="shared" si="4"/>
        <v>0.11318516357540354</v>
      </c>
      <c r="K167" s="2">
        <f t="shared" si="5"/>
        <v>1</v>
      </c>
    </row>
    <row r="168" spans="1:11" x14ac:dyDescent="0.3">
      <c r="A168" s="23">
        <v>0</v>
      </c>
      <c r="B168" s="23">
        <v>0</v>
      </c>
      <c r="C168" s="23">
        <v>1</v>
      </c>
      <c r="D168" s="23">
        <v>0.36842105263157893</v>
      </c>
      <c r="E168" s="23">
        <v>0</v>
      </c>
      <c r="F168" s="23">
        <v>0</v>
      </c>
      <c r="G168" s="23">
        <v>1.5712553569072387E-2</v>
      </c>
      <c r="H168" s="22">
        <v>1</v>
      </c>
      <c r="I168" s="2">
        <v>1.4118690492427182E-7</v>
      </c>
      <c r="J168" s="2">
        <f t="shared" si="4"/>
        <v>0.11186904924271812</v>
      </c>
      <c r="K168" s="2">
        <f t="shared" si="5"/>
        <v>1</v>
      </c>
    </row>
    <row r="169" spans="1:11" x14ac:dyDescent="0.3">
      <c r="A169" s="23">
        <v>1</v>
      </c>
      <c r="B169" s="23">
        <v>0</v>
      </c>
      <c r="C169" s="23">
        <v>0</v>
      </c>
      <c r="D169" s="23">
        <v>0.25</v>
      </c>
      <c r="E169" s="23">
        <v>0</v>
      </c>
      <c r="F169" s="23">
        <v>0</v>
      </c>
      <c r="G169" s="23">
        <v>2.5374310111545468E-2</v>
      </c>
      <c r="H169" s="22">
        <v>0</v>
      </c>
      <c r="I169" s="2">
        <v>1.398683005669656E-7</v>
      </c>
      <c r="J169" s="2">
        <f t="shared" si="4"/>
        <v>9.8683005669655932E-2</v>
      </c>
      <c r="K169" s="2">
        <f t="shared" si="5"/>
        <v>0</v>
      </c>
    </row>
    <row r="170" spans="1:11" x14ac:dyDescent="0.3">
      <c r="A170" s="23">
        <v>0</v>
      </c>
      <c r="B170" s="23">
        <v>0</v>
      </c>
      <c r="C170" s="23">
        <v>1</v>
      </c>
      <c r="D170" s="23">
        <v>0.27631578947368424</v>
      </c>
      <c r="E170" s="23">
        <v>0</v>
      </c>
      <c r="F170" s="23">
        <v>0</v>
      </c>
      <c r="G170" s="23">
        <v>1.5175789316712771E-2</v>
      </c>
      <c r="H170" s="22">
        <v>0</v>
      </c>
      <c r="I170" s="2">
        <v>1.4084979178291452E-7</v>
      </c>
      <c r="J170" s="2">
        <f t="shared" si="4"/>
        <v>0.1084979178291452</v>
      </c>
      <c r="K170" s="2">
        <f t="shared" si="5"/>
        <v>0</v>
      </c>
    </row>
    <row r="171" spans="1:11" x14ac:dyDescent="0.3">
      <c r="A171" s="23">
        <v>0</v>
      </c>
      <c r="B171" s="23">
        <v>0</v>
      </c>
      <c r="C171" s="23">
        <v>1</v>
      </c>
      <c r="D171" s="23">
        <v>0.27631578947368424</v>
      </c>
      <c r="E171" s="23">
        <v>0</v>
      </c>
      <c r="F171" s="23">
        <v>0</v>
      </c>
      <c r="G171" s="23">
        <v>1.5330377421392339E-2</v>
      </c>
      <c r="H171" s="22">
        <v>0</v>
      </c>
      <c r="I171" s="2">
        <v>1.4085010877906913E-7</v>
      </c>
      <c r="J171" s="2">
        <f t="shared" si="4"/>
        <v>0.10850108779069134</v>
      </c>
      <c r="K171" s="2">
        <f t="shared" si="5"/>
        <v>0</v>
      </c>
    </row>
    <row r="172" spans="1:11" x14ac:dyDescent="0.3">
      <c r="A172" s="23">
        <v>1</v>
      </c>
      <c r="B172" s="23">
        <v>0</v>
      </c>
      <c r="C172" s="23">
        <v>0</v>
      </c>
      <c r="D172" s="23">
        <v>0.38157894736842107</v>
      </c>
      <c r="E172" s="23">
        <v>1</v>
      </c>
      <c r="F172" s="23">
        <v>0</v>
      </c>
      <c r="G172" s="23">
        <v>4.4893010197349668E-2</v>
      </c>
      <c r="H172" s="22">
        <v>1</v>
      </c>
      <c r="I172" s="2">
        <v>1.4143854682293785E-7</v>
      </c>
      <c r="J172" s="2">
        <f t="shared" si="4"/>
        <v>0.11438546822937834</v>
      </c>
      <c r="K172" s="2">
        <f t="shared" si="5"/>
        <v>1</v>
      </c>
    </row>
    <row r="173" spans="1:11" x14ac:dyDescent="0.3">
      <c r="A173" s="23">
        <v>0</v>
      </c>
      <c r="B173" s="23">
        <v>0</v>
      </c>
      <c r="C173" s="23">
        <v>0</v>
      </c>
      <c r="D173" s="23">
        <v>1.3157894736842105E-2</v>
      </c>
      <c r="E173" s="23">
        <v>4</v>
      </c>
      <c r="F173" s="23">
        <v>2</v>
      </c>
      <c r="G173" s="23">
        <v>2.3780217875537836E-2</v>
      </c>
      <c r="H173" s="22">
        <v>0</v>
      </c>
      <c r="I173" s="2">
        <v>1.4157999396798491E-7</v>
      </c>
      <c r="J173" s="2">
        <f t="shared" si="4"/>
        <v>0.11579993967984903</v>
      </c>
      <c r="K173" s="2">
        <f t="shared" si="5"/>
        <v>1</v>
      </c>
    </row>
    <row r="174" spans="1:11" x14ac:dyDescent="0.3">
      <c r="A174" s="23">
        <v>1</v>
      </c>
      <c r="B174" s="23">
        <v>0</v>
      </c>
      <c r="C174" s="23">
        <v>1</v>
      </c>
      <c r="D174" s="23">
        <v>0.39473684210526316</v>
      </c>
      <c r="E174" s="23">
        <v>0</v>
      </c>
      <c r="F174" s="23">
        <v>0</v>
      </c>
      <c r="G174" s="23">
        <v>2.4861944234293106E-2</v>
      </c>
      <c r="H174" s="22">
        <v>0</v>
      </c>
      <c r="I174" s="2">
        <v>1.4156820713757816E-7</v>
      </c>
      <c r="J174" s="2">
        <f t="shared" si="4"/>
        <v>0.11568207137578157</v>
      </c>
      <c r="K174" s="2">
        <f t="shared" si="5"/>
        <v>1</v>
      </c>
    </row>
    <row r="175" spans="1:11" x14ac:dyDescent="0.3">
      <c r="A175" s="23">
        <v>0</v>
      </c>
      <c r="B175" s="23">
        <v>1</v>
      </c>
      <c r="C175" s="23">
        <v>1</v>
      </c>
      <c r="D175" s="23">
        <v>0.60526315789473684</v>
      </c>
      <c r="E175" s="23">
        <v>1</v>
      </c>
      <c r="F175" s="23">
        <v>1</v>
      </c>
      <c r="G175" s="23">
        <v>0.14686201762460541</v>
      </c>
      <c r="H175" s="22">
        <v>0</v>
      </c>
      <c r="I175" s="2">
        <v>1.4158328839907377E-7</v>
      </c>
      <c r="J175" s="2">
        <f t="shared" si="4"/>
        <v>0.11583288399073766</v>
      </c>
      <c r="K175" s="2">
        <f t="shared" si="5"/>
        <v>1</v>
      </c>
    </row>
    <row r="176" spans="1:11" x14ac:dyDescent="0.3">
      <c r="A176" s="23">
        <v>0</v>
      </c>
      <c r="B176" s="23">
        <v>1</v>
      </c>
      <c r="C176" s="23">
        <v>0</v>
      </c>
      <c r="D176" s="23">
        <v>0.34210526315789475</v>
      </c>
      <c r="E176" s="23">
        <v>1</v>
      </c>
      <c r="F176" s="23">
        <v>1</v>
      </c>
      <c r="G176" s="23">
        <v>0.26697521827762305</v>
      </c>
      <c r="H176" s="22">
        <v>1</v>
      </c>
      <c r="I176" s="2">
        <v>1.4152334878701262E-7</v>
      </c>
      <c r="J176" s="2">
        <f t="shared" si="4"/>
        <v>0.11523348787012622</v>
      </c>
      <c r="K176" s="2">
        <f t="shared" si="5"/>
        <v>1</v>
      </c>
    </row>
    <row r="177" spans="1:11" x14ac:dyDescent="0.3">
      <c r="A177" s="23">
        <v>1</v>
      </c>
      <c r="B177" s="23">
        <v>0</v>
      </c>
      <c r="C177" s="23">
        <v>1</v>
      </c>
      <c r="D177" s="23">
        <v>0.36842105263157893</v>
      </c>
      <c r="E177" s="23">
        <v>1</v>
      </c>
      <c r="F177" s="23">
        <v>0</v>
      </c>
      <c r="G177" s="23">
        <v>2.0494635090094415E-2</v>
      </c>
      <c r="H177" s="22">
        <v>1</v>
      </c>
      <c r="I177" s="2">
        <v>1.4157966682402579E-7</v>
      </c>
      <c r="J177" s="2">
        <f t="shared" si="4"/>
        <v>0.11579666824025781</v>
      </c>
      <c r="K177" s="2">
        <f t="shared" si="5"/>
        <v>1</v>
      </c>
    </row>
    <row r="178" spans="1:11" x14ac:dyDescent="0.3">
      <c r="A178" s="23">
        <v>1</v>
      </c>
      <c r="B178" s="23">
        <v>0</v>
      </c>
      <c r="C178" s="23">
        <v>1</v>
      </c>
      <c r="D178" s="23">
        <v>0.52631578947368418</v>
      </c>
      <c r="E178" s="23">
        <v>0</v>
      </c>
      <c r="F178" s="23">
        <v>0</v>
      </c>
      <c r="G178" s="23">
        <v>5.0748620223090936E-2</v>
      </c>
      <c r="H178" s="22">
        <v>0</v>
      </c>
      <c r="I178" s="2">
        <v>1.4157768273027796E-7</v>
      </c>
      <c r="J178" s="2">
        <f t="shared" si="4"/>
        <v>0.11577682730277949</v>
      </c>
      <c r="K178" s="2">
        <f t="shared" si="5"/>
        <v>1</v>
      </c>
    </row>
    <row r="179" spans="1:11" x14ac:dyDescent="0.3">
      <c r="A179" s="23">
        <v>1</v>
      </c>
      <c r="B179" s="23">
        <v>0</v>
      </c>
      <c r="C179" s="23">
        <v>1</v>
      </c>
      <c r="D179" s="23">
        <v>0.39473684210526316</v>
      </c>
      <c r="E179" s="23">
        <v>0</v>
      </c>
      <c r="F179" s="23">
        <v>0</v>
      </c>
      <c r="G179" s="23">
        <v>4.098927018018883E-2</v>
      </c>
      <c r="H179" s="22">
        <v>1</v>
      </c>
      <c r="I179" s="2">
        <v>1.4156889074739801E-7</v>
      </c>
      <c r="J179" s="2">
        <f t="shared" si="4"/>
        <v>0.11568890747397997</v>
      </c>
      <c r="K179" s="2">
        <f t="shared" si="5"/>
        <v>1</v>
      </c>
    </row>
    <row r="180" spans="1:11" x14ac:dyDescent="0.3">
      <c r="A180" s="23">
        <v>1</v>
      </c>
      <c r="B180" s="23">
        <v>0</v>
      </c>
      <c r="C180" s="23">
        <v>1</v>
      </c>
      <c r="D180" s="23">
        <v>0.28947368421052633</v>
      </c>
      <c r="E180" s="23">
        <v>0</v>
      </c>
      <c r="F180" s="23">
        <v>0</v>
      </c>
      <c r="G180" s="23">
        <v>2.0494635090094415E-2</v>
      </c>
      <c r="H180" s="22">
        <v>0</v>
      </c>
      <c r="I180" s="2">
        <v>1.4155205700243013E-7</v>
      </c>
      <c r="J180" s="2">
        <f t="shared" si="4"/>
        <v>0.11552057002430116</v>
      </c>
      <c r="K180" s="2">
        <f t="shared" si="5"/>
        <v>1</v>
      </c>
    </row>
    <row r="181" spans="1:11" x14ac:dyDescent="0.3">
      <c r="A181" s="23">
        <v>0</v>
      </c>
      <c r="B181" s="23">
        <v>0</v>
      </c>
      <c r="C181" s="23">
        <v>0</v>
      </c>
      <c r="D181" s="23">
        <v>0.30263157894736842</v>
      </c>
      <c r="E181" s="23">
        <v>0</v>
      </c>
      <c r="F181" s="23">
        <v>0</v>
      </c>
      <c r="G181" s="23">
        <v>1.6908073949327893E-2</v>
      </c>
      <c r="H181" s="22">
        <v>1</v>
      </c>
      <c r="I181" s="2">
        <v>1.1995165822970492E-7</v>
      </c>
      <c r="J181" s="2">
        <f t="shared" si="4"/>
        <v>-0.10048341770295077</v>
      </c>
      <c r="K181" s="2">
        <f t="shared" si="5"/>
        <v>0</v>
      </c>
    </row>
    <row r="182" spans="1:11" x14ac:dyDescent="0.3">
      <c r="A182" s="23">
        <v>0</v>
      </c>
      <c r="B182" s="23">
        <v>0</v>
      </c>
      <c r="C182" s="23">
        <v>0</v>
      </c>
      <c r="D182" s="23">
        <v>0.11842105263157894</v>
      </c>
      <c r="E182" s="23">
        <v>0</v>
      </c>
      <c r="F182" s="23">
        <v>0</v>
      </c>
      <c r="G182" s="23">
        <v>2.9757819776815374E-2</v>
      </c>
      <c r="H182" s="22">
        <v>0</v>
      </c>
      <c r="I182" s="2">
        <v>9.1544981979157184E-8</v>
      </c>
      <c r="J182" s="2">
        <f t="shared" si="4"/>
        <v>-0.38455018020842824</v>
      </c>
      <c r="K182" s="2">
        <f t="shared" si="5"/>
        <v>0</v>
      </c>
    </row>
    <row r="183" spans="1:11" x14ac:dyDescent="0.3">
      <c r="A183" s="23">
        <v>0</v>
      </c>
      <c r="B183" s="23">
        <v>0</v>
      </c>
      <c r="C183" s="23">
        <v>1</v>
      </c>
      <c r="D183" s="23">
        <v>0.47368421052631576</v>
      </c>
      <c r="E183" s="23">
        <v>0</v>
      </c>
      <c r="F183" s="23">
        <v>0</v>
      </c>
      <c r="G183" s="23">
        <v>1.4151057562208049E-2</v>
      </c>
      <c r="H183" s="22">
        <v>0</v>
      </c>
      <c r="I183" s="2">
        <v>1.4138629542261741E-7</v>
      </c>
      <c r="J183" s="2">
        <f t="shared" si="4"/>
        <v>0.11386295422617398</v>
      </c>
      <c r="K183" s="2">
        <f t="shared" si="5"/>
        <v>1</v>
      </c>
    </row>
    <row r="184" spans="1:11" x14ac:dyDescent="0.3">
      <c r="A184" s="23">
        <v>0</v>
      </c>
      <c r="B184" s="23">
        <v>1</v>
      </c>
      <c r="C184" s="23">
        <v>1</v>
      </c>
      <c r="D184" s="23">
        <v>0.31578947368421051</v>
      </c>
      <c r="E184" s="23">
        <v>0</v>
      </c>
      <c r="F184" s="23">
        <v>0</v>
      </c>
      <c r="G184" s="23">
        <v>0.16057390443488287</v>
      </c>
      <c r="H184" s="22">
        <v>0</v>
      </c>
      <c r="I184" s="2">
        <v>1.4147669393326613E-7</v>
      </c>
      <c r="J184" s="2">
        <f t="shared" si="4"/>
        <v>0.11476693933266136</v>
      </c>
      <c r="K184" s="2">
        <f t="shared" si="5"/>
        <v>1</v>
      </c>
    </row>
    <row r="185" spans="1:11" x14ac:dyDescent="0.3">
      <c r="A185" s="23">
        <v>0</v>
      </c>
      <c r="B185" s="23">
        <v>0</v>
      </c>
      <c r="C185" s="23">
        <v>0</v>
      </c>
      <c r="D185" s="23">
        <v>0.39473684210526316</v>
      </c>
      <c r="E185" s="23">
        <v>0</v>
      </c>
      <c r="F185" s="23">
        <v>0</v>
      </c>
      <c r="G185" s="23">
        <v>1.3565496559633922E-2</v>
      </c>
      <c r="H185" s="22">
        <v>0</v>
      </c>
      <c r="I185" s="2">
        <v>1.2872583456673685E-7</v>
      </c>
      <c r="J185" s="2">
        <f t="shared" si="4"/>
        <v>-1.2741654332631525E-2</v>
      </c>
      <c r="K185" s="2">
        <f t="shared" si="5"/>
        <v>0</v>
      </c>
    </row>
    <row r="186" spans="1:11" x14ac:dyDescent="0.3">
      <c r="A186" s="23">
        <v>0</v>
      </c>
      <c r="B186" s="23">
        <v>1</v>
      </c>
      <c r="C186" s="23">
        <v>1</v>
      </c>
      <c r="D186" s="23">
        <v>0.69736842105263153</v>
      </c>
      <c r="E186" s="23">
        <v>0</v>
      </c>
      <c r="F186" s="23">
        <v>0</v>
      </c>
      <c r="G186" s="23">
        <v>0.15977676072337862</v>
      </c>
      <c r="H186" s="22">
        <v>1</v>
      </c>
      <c r="I186" s="2">
        <v>1.415752808445336E-7</v>
      </c>
      <c r="J186" s="2">
        <f t="shared" si="4"/>
        <v>0.11575280844533586</v>
      </c>
      <c r="K186" s="2">
        <f t="shared" si="5"/>
        <v>1</v>
      </c>
    </row>
    <row r="187" spans="1:11" x14ac:dyDescent="0.3">
      <c r="A187" s="23">
        <v>0</v>
      </c>
      <c r="B187" s="23">
        <v>0</v>
      </c>
      <c r="C187" s="23">
        <v>1</v>
      </c>
      <c r="D187" s="23">
        <v>0.47368421052631576</v>
      </c>
      <c r="E187" s="23">
        <v>1</v>
      </c>
      <c r="F187" s="23">
        <v>0</v>
      </c>
      <c r="G187" s="23">
        <v>1.8542765081513996E-2</v>
      </c>
      <c r="H187" s="22">
        <v>0</v>
      </c>
      <c r="I187" s="2">
        <v>1.4154211400134895E-7</v>
      </c>
      <c r="J187" s="2">
        <f t="shared" si="4"/>
        <v>0.11542114001348946</v>
      </c>
      <c r="K187" s="2">
        <f t="shared" si="5"/>
        <v>1</v>
      </c>
    </row>
    <row r="188" spans="1:11" x14ac:dyDescent="0.3">
      <c r="A188" s="23">
        <v>1</v>
      </c>
      <c r="B188" s="23">
        <v>0</v>
      </c>
      <c r="C188" s="23">
        <v>0</v>
      </c>
      <c r="D188" s="23">
        <v>1.3157894736842105E-2</v>
      </c>
      <c r="E188" s="23">
        <v>1</v>
      </c>
      <c r="F188" s="23">
        <v>0</v>
      </c>
      <c r="G188" s="23">
        <v>8.1157193460767024E-2</v>
      </c>
      <c r="H188" s="22">
        <v>0</v>
      </c>
      <c r="I188" s="2">
        <v>1.4005949308056833E-7</v>
      </c>
      <c r="J188" s="2">
        <f t="shared" si="4"/>
        <v>0.10059493080568327</v>
      </c>
      <c r="K188" s="2">
        <f t="shared" si="5"/>
        <v>0</v>
      </c>
    </row>
    <row r="189" spans="1:11" x14ac:dyDescent="0.3">
      <c r="A189" s="23">
        <v>0</v>
      </c>
      <c r="B189" s="23">
        <v>1</v>
      </c>
      <c r="C189" s="23">
        <v>1</v>
      </c>
      <c r="D189" s="23">
        <v>0.39473684210526316</v>
      </c>
      <c r="E189" s="23">
        <v>0</v>
      </c>
      <c r="F189" s="23">
        <v>0</v>
      </c>
      <c r="G189" s="23">
        <v>8.8810085390409133E-2</v>
      </c>
      <c r="H189" s="22">
        <v>0</v>
      </c>
      <c r="I189" s="2">
        <v>1.4150646131888864E-7</v>
      </c>
      <c r="J189" s="2">
        <f t="shared" si="4"/>
        <v>0.11506461318888639</v>
      </c>
      <c r="K189" s="2">
        <f t="shared" si="5"/>
        <v>1</v>
      </c>
    </row>
    <row r="190" spans="1:11" x14ac:dyDescent="0.3">
      <c r="A190" s="23">
        <v>0</v>
      </c>
      <c r="B190" s="23">
        <v>0</v>
      </c>
      <c r="C190" s="23">
        <v>1</v>
      </c>
      <c r="D190" s="23">
        <v>0.38157894736842107</v>
      </c>
      <c r="E190" s="23">
        <v>1</v>
      </c>
      <c r="F190" s="23">
        <v>0</v>
      </c>
      <c r="G190" s="23">
        <v>1.5330377421392339E-2</v>
      </c>
      <c r="H190" s="22">
        <v>0</v>
      </c>
      <c r="I190" s="2">
        <v>1.4150606390049165E-7</v>
      </c>
      <c r="J190" s="2">
        <f t="shared" si="4"/>
        <v>0.11506063900491648</v>
      </c>
      <c r="K190" s="2">
        <f t="shared" si="5"/>
        <v>1</v>
      </c>
    </row>
    <row r="191" spans="1:11" x14ac:dyDescent="0.3">
      <c r="A191" s="23">
        <v>0</v>
      </c>
      <c r="B191" s="23">
        <v>0</v>
      </c>
      <c r="C191" s="23">
        <v>1</v>
      </c>
      <c r="D191" s="23">
        <v>0.42105263157894735</v>
      </c>
      <c r="E191" s="23">
        <v>0</v>
      </c>
      <c r="F191" s="23">
        <v>0</v>
      </c>
      <c r="G191" s="23">
        <v>1.5175789316712771E-2</v>
      </c>
      <c r="H191" s="22">
        <v>0</v>
      </c>
      <c r="I191" s="2">
        <v>1.4130398238469454E-7</v>
      </c>
      <c r="J191" s="2">
        <f t="shared" si="4"/>
        <v>0.11303982384694544</v>
      </c>
      <c r="K191" s="2">
        <f t="shared" si="5"/>
        <v>1</v>
      </c>
    </row>
    <row r="192" spans="1:11" x14ac:dyDescent="0.3">
      <c r="A192" s="23">
        <v>1</v>
      </c>
      <c r="B192" s="23">
        <v>0</v>
      </c>
      <c r="C192" s="23">
        <v>1</v>
      </c>
      <c r="D192" s="23">
        <v>0.56578947368421051</v>
      </c>
      <c r="E192" s="23">
        <v>1</v>
      </c>
      <c r="F192" s="23">
        <v>1</v>
      </c>
      <c r="G192" s="23">
        <v>4.098927018018883E-2</v>
      </c>
      <c r="H192" s="22">
        <v>1</v>
      </c>
      <c r="I192" s="2">
        <v>1.4158352799577541E-7</v>
      </c>
      <c r="J192" s="2">
        <f t="shared" si="4"/>
        <v>0.115835279957754</v>
      </c>
      <c r="K192" s="2">
        <f t="shared" si="5"/>
        <v>1</v>
      </c>
    </row>
    <row r="193" spans="1:11" x14ac:dyDescent="0.3">
      <c r="A193" s="23">
        <v>0</v>
      </c>
      <c r="B193" s="23">
        <v>0</v>
      </c>
      <c r="C193" s="23">
        <v>1</v>
      </c>
      <c r="D193" s="23">
        <v>0.31578947368421051</v>
      </c>
      <c r="E193" s="23">
        <v>1</v>
      </c>
      <c r="F193" s="23">
        <v>0</v>
      </c>
      <c r="G193" s="23">
        <v>1.6908073949327893E-2</v>
      </c>
      <c r="H193" s="22">
        <v>1</v>
      </c>
      <c r="I193" s="2">
        <v>1.4146373946768679E-7</v>
      </c>
      <c r="J193" s="2">
        <f t="shared" si="4"/>
        <v>0.11463739467686773</v>
      </c>
      <c r="K193" s="2">
        <f t="shared" si="5"/>
        <v>1</v>
      </c>
    </row>
    <row r="194" spans="1:11" x14ac:dyDescent="0.3">
      <c r="A194" s="23">
        <v>0</v>
      </c>
      <c r="B194" s="23">
        <v>1</v>
      </c>
      <c r="C194" s="23">
        <v>0</v>
      </c>
      <c r="D194" s="23">
        <v>0.84210526315789469</v>
      </c>
      <c r="E194" s="23">
        <v>0</v>
      </c>
      <c r="F194" s="23">
        <v>0</v>
      </c>
      <c r="G194" s="23">
        <v>5.1822148727810165E-2</v>
      </c>
      <c r="H194" s="22">
        <v>1</v>
      </c>
      <c r="I194" s="2">
        <v>1.4139976546504187E-7</v>
      </c>
      <c r="J194" s="2">
        <f t="shared" si="4"/>
        <v>0.11399765465041867</v>
      </c>
      <c r="K194" s="2">
        <f t="shared" si="5"/>
        <v>1</v>
      </c>
    </row>
    <row r="195" spans="1:11" x14ac:dyDescent="0.3">
      <c r="A195" s="23">
        <v>0</v>
      </c>
      <c r="B195" s="23">
        <v>1</v>
      </c>
      <c r="C195" s="23">
        <v>1</v>
      </c>
      <c r="D195" s="23">
        <v>0.39473684210526316</v>
      </c>
      <c r="E195" s="23">
        <v>0</v>
      </c>
      <c r="F195" s="23">
        <v>2</v>
      </c>
      <c r="G195" s="23">
        <v>0.29580589980036276</v>
      </c>
      <c r="H195" s="22">
        <v>1</v>
      </c>
      <c r="I195" s="2">
        <v>1.4158320144771702E-7</v>
      </c>
      <c r="J195" s="2">
        <f t="shared" ref="J195:J258" si="6">I195*10000000 - 1.3</f>
        <v>0.11583201447717006</v>
      </c>
      <c r="K195" s="2">
        <f t="shared" ref="K195:K258" si="7">IF(J195&gt;0.11, 1, 0)</f>
        <v>1</v>
      </c>
    </row>
    <row r="196" spans="1:11" x14ac:dyDescent="0.3">
      <c r="A196" s="23">
        <v>0</v>
      </c>
      <c r="B196" s="23">
        <v>0</v>
      </c>
      <c r="C196" s="23">
        <v>1</v>
      </c>
      <c r="D196" s="23">
        <v>1.0921052631578948E-2</v>
      </c>
      <c r="E196" s="23">
        <v>1</v>
      </c>
      <c r="F196" s="23">
        <v>1</v>
      </c>
      <c r="G196" s="23">
        <v>1.8249984580226929E-2</v>
      </c>
      <c r="H196" s="22">
        <v>0</v>
      </c>
      <c r="I196" s="2">
        <v>1.414923548587549E-7</v>
      </c>
      <c r="J196" s="2">
        <f t="shared" si="6"/>
        <v>0.11492354858754883</v>
      </c>
      <c r="K196" s="2">
        <f t="shared" si="7"/>
        <v>1</v>
      </c>
    </row>
    <row r="197" spans="1:11" x14ac:dyDescent="0.3">
      <c r="A197" s="23">
        <v>0</v>
      </c>
      <c r="B197" s="23">
        <v>0</v>
      </c>
      <c r="C197" s="23">
        <v>1</v>
      </c>
      <c r="D197" s="23">
        <v>0.23684210526315788</v>
      </c>
      <c r="E197" s="23">
        <v>1</v>
      </c>
      <c r="F197" s="23">
        <v>0</v>
      </c>
      <c r="G197" s="23">
        <v>1.6908073949327893E-2</v>
      </c>
      <c r="H197" s="22">
        <v>0</v>
      </c>
      <c r="I197" s="2">
        <v>1.413804328079172E-7</v>
      </c>
      <c r="J197" s="2">
        <f t="shared" si="6"/>
        <v>0.11380432807917185</v>
      </c>
      <c r="K197" s="2">
        <f t="shared" si="7"/>
        <v>1</v>
      </c>
    </row>
    <row r="198" spans="1:11" x14ac:dyDescent="0.3">
      <c r="A198" s="23">
        <v>0</v>
      </c>
      <c r="B198" s="23">
        <v>0</v>
      </c>
      <c r="C198" s="23">
        <v>1</v>
      </c>
      <c r="D198" s="23">
        <v>0.28947368421052633</v>
      </c>
      <c r="E198" s="23">
        <v>0</v>
      </c>
      <c r="F198" s="23">
        <v>0</v>
      </c>
      <c r="G198" s="23">
        <v>1.4102260811993537E-2</v>
      </c>
      <c r="H198" s="22">
        <v>1</v>
      </c>
      <c r="I198" s="2">
        <v>1.409092765278055E-7</v>
      </c>
      <c r="J198" s="2">
        <f t="shared" si="6"/>
        <v>0.10909276527805489</v>
      </c>
      <c r="K198" s="2">
        <f t="shared" si="7"/>
        <v>0</v>
      </c>
    </row>
    <row r="199" spans="1:11" x14ac:dyDescent="0.3">
      <c r="A199" s="23">
        <v>0</v>
      </c>
      <c r="B199" s="23">
        <v>0</v>
      </c>
      <c r="C199" s="23">
        <v>0</v>
      </c>
      <c r="D199" s="23">
        <v>0.48684210526315791</v>
      </c>
      <c r="E199" s="23">
        <v>1</v>
      </c>
      <c r="F199" s="23">
        <v>1</v>
      </c>
      <c r="G199" s="23">
        <v>1.5126992566498259E-2</v>
      </c>
      <c r="H199" s="22">
        <v>0</v>
      </c>
      <c r="I199" s="2">
        <v>1.4142024977030053E-7</v>
      </c>
      <c r="J199" s="2">
        <f t="shared" si="6"/>
        <v>0.11420249770300517</v>
      </c>
      <c r="K199" s="2">
        <f t="shared" si="7"/>
        <v>1</v>
      </c>
    </row>
    <row r="200" spans="1:11" x14ac:dyDescent="0.3">
      <c r="A200" s="24">
        <v>0</v>
      </c>
      <c r="B200" s="24">
        <v>1</v>
      </c>
      <c r="C200" s="24">
        <v>0</v>
      </c>
      <c r="D200" s="24">
        <v>0.72368421052631582</v>
      </c>
      <c r="E200" s="24">
        <v>1</v>
      </c>
      <c r="F200" s="24">
        <v>0</v>
      </c>
      <c r="G200" s="24">
        <v>0.26473857043479071</v>
      </c>
      <c r="H200" s="25">
        <v>1</v>
      </c>
      <c r="I200" s="2">
        <v>1.4153860589366378E-7</v>
      </c>
      <c r="J200" s="2">
        <f t="shared" si="6"/>
        <v>0.11538605893663778</v>
      </c>
      <c r="K200" s="2">
        <f t="shared" si="7"/>
        <v>1</v>
      </c>
    </row>
    <row r="201" spans="1:11" x14ac:dyDescent="0.3">
      <c r="A201" s="24">
        <v>0</v>
      </c>
      <c r="B201" s="24">
        <v>1</v>
      </c>
      <c r="C201" s="24">
        <v>1</v>
      </c>
      <c r="D201" s="24">
        <v>0.75</v>
      </c>
      <c r="E201" s="24">
        <v>1</v>
      </c>
      <c r="F201" s="24">
        <v>2</v>
      </c>
      <c r="G201" s="24">
        <v>0.28598955515321012</v>
      </c>
      <c r="H201" s="25">
        <v>1</v>
      </c>
      <c r="I201" s="2">
        <v>1.4158612082083813E-7</v>
      </c>
      <c r="J201" s="2">
        <f t="shared" si="6"/>
        <v>0.11586120820838119</v>
      </c>
      <c r="K201" s="2">
        <f t="shared" si="7"/>
        <v>1</v>
      </c>
    </row>
    <row r="202" spans="1:11" x14ac:dyDescent="0.3">
      <c r="A202" s="24">
        <v>1</v>
      </c>
      <c r="B202" s="24">
        <v>0</v>
      </c>
      <c r="C202" s="24">
        <v>1</v>
      </c>
      <c r="D202" s="24">
        <v>0.25</v>
      </c>
      <c r="E202" s="24">
        <v>0</v>
      </c>
      <c r="F202" s="24">
        <v>0</v>
      </c>
      <c r="G202" s="24">
        <v>2.0494635090094415E-2</v>
      </c>
      <c r="H202" s="25">
        <v>0</v>
      </c>
      <c r="I202" s="2">
        <v>1.4154501750522357E-7</v>
      </c>
      <c r="J202" s="2">
        <f t="shared" si="6"/>
        <v>0.11545017505223565</v>
      </c>
      <c r="K202" s="2">
        <f t="shared" si="7"/>
        <v>1</v>
      </c>
    </row>
    <row r="203" spans="1:11" x14ac:dyDescent="0.3">
      <c r="A203" s="24">
        <v>0</v>
      </c>
      <c r="B203" s="24">
        <v>0</v>
      </c>
      <c r="C203" s="24">
        <v>1</v>
      </c>
      <c r="D203" s="24">
        <v>0.35526315789473684</v>
      </c>
      <c r="E203" s="24">
        <v>1</v>
      </c>
      <c r="F203" s="24">
        <v>0</v>
      </c>
      <c r="G203" s="24">
        <v>1.5330377421392339E-2</v>
      </c>
      <c r="H203" s="25">
        <v>0</v>
      </c>
      <c r="I203" s="2">
        <v>1.4149364079295344E-7</v>
      </c>
      <c r="J203" s="2">
        <f t="shared" si="6"/>
        <v>0.1149364079295343</v>
      </c>
      <c r="K203" s="2">
        <f t="shared" si="7"/>
        <v>1</v>
      </c>
    </row>
    <row r="204" spans="1:11" x14ac:dyDescent="0.3">
      <c r="A204" s="24">
        <v>1</v>
      </c>
      <c r="B204" s="24">
        <v>0</v>
      </c>
      <c r="C204" s="24">
        <v>1</v>
      </c>
      <c r="D204" s="24">
        <v>0.28947368421052633</v>
      </c>
      <c r="E204" s="24">
        <v>0</v>
      </c>
      <c r="F204" s="24">
        <v>0</v>
      </c>
      <c r="G204" s="24">
        <v>6.1483905270283246E-2</v>
      </c>
      <c r="H204" s="25">
        <v>0</v>
      </c>
      <c r="I204" s="2">
        <v>1.4155799508178848E-7</v>
      </c>
      <c r="J204" s="2">
        <f t="shared" si="6"/>
        <v>0.11557995081788475</v>
      </c>
      <c r="K204" s="2">
        <f t="shared" si="7"/>
        <v>1</v>
      </c>
    </row>
    <row r="205" spans="1:11" x14ac:dyDescent="0.3">
      <c r="A205" s="24">
        <v>0</v>
      </c>
      <c r="B205" s="24">
        <v>0</v>
      </c>
      <c r="C205" s="24">
        <v>1</v>
      </c>
      <c r="D205" s="24">
        <v>0.34210526315789475</v>
      </c>
      <c r="E205" s="24">
        <v>0</v>
      </c>
      <c r="F205" s="24">
        <v>0</v>
      </c>
      <c r="G205" s="24">
        <v>1.5175789316712771E-2</v>
      </c>
      <c r="H205" s="25">
        <v>0</v>
      </c>
      <c r="I205" s="2">
        <v>1.4111259576452449E-7</v>
      </c>
      <c r="J205" s="2">
        <f t="shared" si="6"/>
        <v>0.1111259576452448</v>
      </c>
      <c r="K205" s="2">
        <f t="shared" si="7"/>
        <v>1</v>
      </c>
    </row>
    <row r="206" spans="1:11" x14ac:dyDescent="0.3">
      <c r="A206" s="24">
        <v>0</v>
      </c>
      <c r="B206" s="24">
        <v>1</v>
      </c>
      <c r="C206" s="24">
        <v>1</v>
      </c>
      <c r="D206" s="24">
        <v>0.43421052631578949</v>
      </c>
      <c r="E206" s="24">
        <v>0</v>
      </c>
      <c r="F206" s="24">
        <v>0</v>
      </c>
      <c r="G206" s="24">
        <v>5.1822148727810165E-2</v>
      </c>
      <c r="H206" s="25">
        <v>0</v>
      </c>
      <c r="I206" s="2">
        <v>1.415203747886369E-7</v>
      </c>
      <c r="J206" s="2">
        <f t="shared" si="6"/>
        <v>0.115203747886369</v>
      </c>
      <c r="K206" s="2">
        <f t="shared" si="7"/>
        <v>1</v>
      </c>
    </row>
    <row r="207" spans="1:11" x14ac:dyDescent="0.3">
      <c r="A207" s="24">
        <v>0</v>
      </c>
      <c r="B207" s="24">
        <v>1</v>
      </c>
      <c r="C207" s="24">
        <v>0</v>
      </c>
      <c r="D207" s="24">
        <v>0.51315789473684215</v>
      </c>
      <c r="E207" s="24">
        <v>0</v>
      </c>
      <c r="F207" s="24">
        <v>0</v>
      </c>
      <c r="G207" s="24">
        <v>0.41250332793836464</v>
      </c>
      <c r="H207" s="25">
        <v>1</v>
      </c>
      <c r="I207" s="2">
        <v>1.4098565417019042E-7</v>
      </c>
      <c r="J207" s="2">
        <f t="shared" si="6"/>
        <v>0.10985654170190418</v>
      </c>
      <c r="K207" s="2">
        <f t="shared" si="7"/>
        <v>0</v>
      </c>
    </row>
    <row r="208" spans="1:11" x14ac:dyDescent="0.3">
      <c r="A208" s="24">
        <v>0</v>
      </c>
      <c r="B208" s="24">
        <v>0</v>
      </c>
      <c r="C208" s="24">
        <v>1</v>
      </c>
      <c r="D208" s="24">
        <v>0.30263157894736842</v>
      </c>
      <c r="E208" s="24">
        <v>0</v>
      </c>
      <c r="F208" s="24">
        <v>0</v>
      </c>
      <c r="G208" s="24">
        <v>1.3760683560491965E-2</v>
      </c>
      <c r="H208" s="25">
        <v>0</v>
      </c>
      <c r="I208" s="2">
        <v>1.4096772376871718E-7</v>
      </c>
      <c r="J208" s="2">
        <f t="shared" si="6"/>
        <v>0.10967723768717175</v>
      </c>
      <c r="K208" s="2">
        <f t="shared" si="7"/>
        <v>0</v>
      </c>
    </row>
    <row r="209" spans="1:11" x14ac:dyDescent="0.3">
      <c r="A209" s="24">
        <v>1</v>
      </c>
      <c r="B209" s="24">
        <v>0</v>
      </c>
      <c r="C209" s="24">
        <v>0</v>
      </c>
      <c r="D209" s="24">
        <v>0.15789473684210525</v>
      </c>
      <c r="E209" s="24">
        <v>1</v>
      </c>
      <c r="F209" s="24">
        <v>0</v>
      </c>
      <c r="G209" s="24">
        <v>7.6122930334636393E-2</v>
      </c>
      <c r="H209" s="25">
        <v>0</v>
      </c>
      <c r="I209" s="2">
        <v>1.4099465536977E-7</v>
      </c>
      <c r="J209" s="2">
        <f t="shared" si="6"/>
        <v>0.10994655369770001</v>
      </c>
      <c r="K209" s="2">
        <f t="shared" si="7"/>
        <v>0</v>
      </c>
    </row>
    <row r="210" spans="1:11" x14ac:dyDescent="0.3">
      <c r="A210" s="24">
        <v>0</v>
      </c>
      <c r="B210" s="24">
        <v>1</v>
      </c>
      <c r="C210" s="24">
        <v>1</v>
      </c>
      <c r="D210" s="24">
        <v>0.60526315789473684</v>
      </c>
      <c r="E210" s="24">
        <v>0</v>
      </c>
      <c r="F210" s="24">
        <v>0</v>
      </c>
      <c r="G210" s="24">
        <v>0.15458810467956932</v>
      </c>
      <c r="H210" s="25">
        <v>0</v>
      </c>
      <c r="I210" s="2">
        <v>1.4157044434342423E-7</v>
      </c>
      <c r="J210" s="2">
        <f t="shared" si="6"/>
        <v>0.11570444343424224</v>
      </c>
      <c r="K210" s="2">
        <f t="shared" si="7"/>
        <v>1</v>
      </c>
    </row>
    <row r="211" spans="1:11" x14ac:dyDescent="0.3">
      <c r="A211" s="24">
        <v>1</v>
      </c>
      <c r="B211" s="24">
        <v>0</v>
      </c>
      <c r="C211" s="24">
        <v>1</v>
      </c>
      <c r="D211" s="24">
        <v>0.38157894736842107</v>
      </c>
      <c r="E211" s="24">
        <v>0</v>
      </c>
      <c r="F211" s="24">
        <v>2</v>
      </c>
      <c r="G211" s="24">
        <v>5.0748620223090936E-2</v>
      </c>
      <c r="H211" s="25">
        <v>1</v>
      </c>
      <c r="I211" s="2">
        <v>1.4158597495141784E-7</v>
      </c>
      <c r="J211" s="2">
        <f t="shared" si="6"/>
        <v>0.11585974951417843</v>
      </c>
      <c r="K211" s="2">
        <f t="shared" si="7"/>
        <v>1</v>
      </c>
    </row>
    <row r="212" spans="1:11" x14ac:dyDescent="0.3">
      <c r="A212" s="24">
        <v>1</v>
      </c>
      <c r="B212" s="24">
        <v>0</v>
      </c>
      <c r="C212" s="24">
        <v>1</v>
      </c>
      <c r="D212" s="24">
        <v>0.27631578947368424</v>
      </c>
      <c r="E212" s="24">
        <v>1</v>
      </c>
      <c r="F212" s="24">
        <v>1</v>
      </c>
      <c r="G212" s="24">
        <v>2.5374310111545468E-2</v>
      </c>
      <c r="H212" s="25">
        <v>1</v>
      </c>
      <c r="I212" s="2">
        <v>1.4158541074869879E-7</v>
      </c>
      <c r="J212" s="2">
        <f t="shared" si="6"/>
        <v>0.11585410748698788</v>
      </c>
      <c r="K212" s="2">
        <f t="shared" si="7"/>
        <v>1</v>
      </c>
    </row>
    <row r="213" spans="1:11" x14ac:dyDescent="0.3">
      <c r="A213" s="24">
        <v>1</v>
      </c>
      <c r="B213" s="24">
        <v>0</v>
      </c>
      <c r="C213" s="24">
        <v>0</v>
      </c>
      <c r="D213" s="24">
        <v>0.63157894736842102</v>
      </c>
      <c r="E213" s="24">
        <v>0</v>
      </c>
      <c r="F213" s="24">
        <v>0</v>
      </c>
      <c r="G213" s="24">
        <v>7.1731222815330453E-2</v>
      </c>
      <c r="H213" s="25">
        <v>0</v>
      </c>
      <c r="I213" s="2">
        <v>1.4146739091143097E-7</v>
      </c>
      <c r="J213" s="2">
        <f t="shared" si="6"/>
        <v>0.11467390911430964</v>
      </c>
      <c r="K213" s="2">
        <f t="shared" si="7"/>
        <v>1</v>
      </c>
    </row>
    <row r="214" spans="1:11" x14ac:dyDescent="0.3">
      <c r="A214" s="24">
        <v>1</v>
      </c>
      <c r="B214" s="24">
        <v>0</v>
      </c>
      <c r="C214" s="24">
        <v>1</v>
      </c>
      <c r="D214" s="24">
        <v>0.42105263157894735</v>
      </c>
      <c r="E214" s="24">
        <v>0</v>
      </c>
      <c r="F214" s="24">
        <v>0</v>
      </c>
      <c r="G214" s="24">
        <v>2.5374310111545468E-2</v>
      </c>
      <c r="H214" s="25">
        <v>0</v>
      </c>
      <c r="I214" s="2">
        <v>1.4157321739943261E-7</v>
      </c>
      <c r="J214" s="2">
        <f t="shared" si="6"/>
        <v>0.115732173994326</v>
      </c>
      <c r="K214" s="2">
        <f t="shared" si="7"/>
        <v>1</v>
      </c>
    </row>
    <row r="215" spans="1:11" x14ac:dyDescent="0.3">
      <c r="A215" s="24">
        <v>0</v>
      </c>
      <c r="B215" s="24">
        <v>0</v>
      </c>
      <c r="C215" s="24">
        <v>1</v>
      </c>
      <c r="D215" s="24">
        <v>0.51315789473684215</v>
      </c>
      <c r="E215" s="24">
        <v>0</v>
      </c>
      <c r="F215" s="24">
        <v>0</v>
      </c>
      <c r="G215" s="24">
        <v>1.4110458666029575E-2</v>
      </c>
      <c r="H215" s="25">
        <v>0</v>
      </c>
      <c r="I215" s="2">
        <v>1.4143452918858297E-7</v>
      </c>
      <c r="J215" s="2">
        <f t="shared" si="6"/>
        <v>0.11434529188582965</v>
      </c>
      <c r="K215" s="2">
        <f t="shared" si="7"/>
        <v>1</v>
      </c>
    </row>
    <row r="216" spans="1:11" x14ac:dyDescent="0.3">
      <c r="A216" s="24">
        <v>1</v>
      </c>
      <c r="B216" s="24">
        <v>0</v>
      </c>
      <c r="C216" s="24">
        <v>1</v>
      </c>
      <c r="D216" s="24">
        <v>0.23684210526315788</v>
      </c>
      <c r="E216" s="24">
        <v>1</v>
      </c>
      <c r="F216" s="24">
        <v>0</v>
      </c>
      <c r="G216" s="24">
        <v>2.0494635090094415E-2</v>
      </c>
      <c r="H216" s="25">
        <v>1</v>
      </c>
      <c r="I216" s="2">
        <v>1.4157657708205547E-7</v>
      </c>
      <c r="J216" s="2">
        <f t="shared" si="6"/>
        <v>0.11576577082055461</v>
      </c>
      <c r="K216" s="2">
        <f t="shared" si="7"/>
        <v>1</v>
      </c>
    </row>
    <row r="217" spans="1:11" x14ac:dyDescent="0.3">
      <c r="A217" s="24">
        <v>0</v>
      </c>
      <c r="B217" s="24">
        <v>0</v>
      </c>
      <c r="C217" s="24">
        <v>0</v>
      </c>
      <c r="D217" s="24">
        <v>0.21052631578947367</v>
      </c>
      <c r="E217" s="24">
        <v>1</v>
      </c>
      <c r="F217" s="24">
        <v>0</v>
      </c>
      <c r="G217" s="24">
        <v>1.4931805565640218E-2</v>
      </c>
      <c r="H217" s="25">
        <v>1</v>
      </c>
      <c r="I217" s="2">
        <v>1.3195596936429991E-7</v>
      </c>
      <c r="J217" s="2">
        <f t="shared" si="6"/>
        <v>1.9559693642999143E-2</v>
      </c>
      <c r="K217" s="2">
        <f t="shared" si="7"/>
        <v>0</v>
      </c>
    </row>
    <row r="218" spans="1:11" x14ac:dyDescent="0.3">
      <c r="A218" s="24">
        <v>1</v>
      </c>
      <c r="B218" s="24">
        <v>0</v>
      </c>
      <c r="C218" s="24">
        <v>1</v>
      </c>
      <c r="D218" s="24">
        <v>0.34210526315789475</v>
      </c>
      <c r="E218" s="24">
        <v>0</v>
      </c>
      <c r="F218" s="24">
        <v>0</v>
      </c>
      <c r="G218" s="24">
        <v>2.5374310111545468E-2</v>
      </c>
      <c r="H218" s="25">
        <v>0</v>
      </c>
      <c r="I218" s="2">
        <v>1.4156423164535716E-7</v>
      </c>
      <c r="J218" s="2">
        <f t="shared" si="6"/>
        <v>0.11564231645357159</v>
      </c>
      <c r="K218" s="2">
        <f t="shared" si="7"/>
        <v>1</v>
      </c>
    </row>
    <row r="219" spans="1:11" x14ac:dyDescent="0.3">
      <c r="A219" s="24">
        <v>0</v>
      </c>
      <c r="B219" s="24">
        <v>0</v>
      </c>
      <c r="C219" s="24">
        <v>0</v>
      </c>
      <c r="D219" s="24">
        <v>0.5</v>
      </c>
      <c r="E219" s="24">
        <v>1</v>
      </c>
      <c r="F219" s="24">
        <v>0</v>
      </c>
      <c r="G219" s="24">
        <v>1.4110458666029575E-2</v>
      </c>
      <c r="H219" s="25">
        <v>0</v>
      </c>
      <c r="I219" s="2">
        <v>1.400923598217684E-7</v>
      </c>
      <c r="J219" s="2">
        <f t="shared" si="6"/>
        <v>0.10092359821768393</v>
      </c>
      <c r="K219" s="2">
        <f t="shared" si="7"/>
        <v>0</v>
      </c>
    </row>
    <row r="220" spans="1:11" x14ac:dyDescent="0.3">
      <c r="A220" s="24">
        <v>1</v>
      </c>
      <c r="B220" s="24">
        <v>0</v>
      </c>
      <c r="C220" s="24">
        <v>1</v>
      </c>
      <c r="D220" s="24">
        <v>0.31578947368421051</v>
      </c>
      <c r="E220" s="24">
        <v>1</v>
      </c>
      <c r="F220" s="24">
        <v>0</v>
      </c>
      <c r="G220" s="24">
        <v>2.6350245115835676E-2</v>
      </c>
      <c r="H220" s="25">
        <v>0</v>
      </c>
      <c r="I220" s="2">
        <v>1.4158058911085379E-7</v>
      </c>
      <c r="J220" s="2">
        <f t="shared" si="6"/>
        <v>0.11580589110853778</v>
      </c>
      <c r="K220" s="2">
        <f t="shared" si="7"/>
        <v>1</v>
      </c>
    </row>
    <row r="221" spans="1:11" x14ac:dyDescent="0.3">
      <c r="A221" s="24">
        <v>1</v>
      </c>
      <c r="B221" s="24">
        <v>0</v>
      </c>
      <c r="C221" s="24">
        <v>0</v>
      </c>
      <c r="D221" s="24">
        <v>0.40789473684210525</v>
      </c>
      <c r="E221" s="24">
        <v>0</v>
      </c>
      <c r="F221" s="24">
        <v>0</v>
      </c>
      <c r="G221" s="24">
        <v>4.098927018018883E-2</v>
      </c>
      <c r="H221" s="25">
        <v>0</v>
      </c>
      <c r="I221" s="2">
        <v>1.4100995211935904E-7</v>
      </c>
      <c r="J221" s="2">
        <f t="shared" si="6"/>
        <v>0.11009952119359045</v>
      </c>
      <c r="K221" s="2">
        <f t="shared" si="7"/>
        <v>1</v>
      </c>
    </row>
    <row r="222" spans="1:11" x14ac:dyDescent="0.3">
      <c r="A222" s="24">
        <v>0</v>
      </c>
      <c r="B222" s="24">
        <v>1</v>
      </c>
      <c r="C222" s="24">
        <v>0</v>
      </c>
      <c r="D222" s="24">
        <v>0.59210526315789469</v>
      </c>
      <c r="E222" s="24">
        <v>0</v>
      </c>
      <c r="F222" s="24">
        <v>0</v>
      </c>
      <c r="G222" s="24">
        <v>0.12366716556464086</v>
      </c>
      <c r="H222" s="25">
        <v>1</v>
      </c>
      <c r="I222" s="2">
        <v>1.4078979952434875E-7</v>
      </c>
      <c r="J222" s="2">
        <f t="shared" si="6"/>
        <v>0.10789799524348753</v>
      </c>
      <c r="K222" s="2">
        <f t="shared" si="7"/>
        <v>0</v>
      </c>
    </row>
    <row r="223" spans="1:11" x14ac:dyDescent="0.3">
      <c r="A223" s="24">
        <v>1</v>
      </c>
      <c r="B223" s="24">
        <v>0</v>
      </c>
      <c r="C223" s="24">
        <v>1</v>
      </c>
      <c r="D223" s="24">
        <v>0.32894736842105265</v>
      </c>
      <c r="E223" s="24">
        <v>1</v>
      </c>
      <c r="F223" s="24">
        <v>1</v>
      </c>
      <c r="G223" s="24">
        <v>2.0494635090094415E-2</v>
      </c>
      <c r="H223" s="25">
        <v>1</v>
      </c>
      <c r="I223" s="2">
        <v>1.4158561712203812E-7</v>
      </c>
      <c r="J223" s="2">
        <f t="shared" si="6"/>
        <v>0.11585617122038117</v>
      </c>
      <c r="K223" s="2">
        <f t="shared" si="7"/>
        <v>1</v>
      </c>
    </row>
    <row r="224" spans="1:11" x14ac:dyDescent="0.3">
      <c r="A224" s="24">
        <v>1</v>
      </c>
      <c r="B224" s="24">
        <v>0</v>
      </c>
      <c r="C224" s="24">
        <v>1</v>
      </c>
      <c r="D224" s="24">
        <v>0.64473684210526316</v>
      </c>
      <c r="E224" s="24">
        <v>1</v>
      </c>
      <c r="F224" s="24">
        <v>1</v>
      </c>
      <c r="G224" s="24">
        <v>0.12687155055772734</v>
      </c>
      <c r="H224" s="25">
        <v>1</v>
      </c>
      <c r="I224" s="2">
        <v>1.4158608355016901E-7</v>
      </c>
      <c r="J224" s="2">
        <f t="shared" si="6"/>
        <v>0.11586083550169013</v>
      </c>
      <c r="K224" s="2">
        <f t="shared" si="7"/>
        <v>1</v>
      </c>
    </row>
    <row r="225" spans="1:11" x14ac:dyDescent="0.3">
      <c r="A225" s="24">
        <v>0</v>
      </c>
      <c r="B225" s="24">
        <v>0</v>
      </c>
      <c r="C225" s="24">
        <v>0</v>
      </c>
      <c r="D225" s="24">
        <v>2.2368421052631582E-3</v>
      </c>
      <c r="E225" s="24">
        <v>1</v>
      </c>
      <c r="F225" s="24">
        <v>1</v>
      </c>
      <c r="G225" s="24">
        <v>4.0159725426542149E-2</v>
      </c>
      <c r="H225" s="25">
        <v>1</v>
      </c>
      <c r="I225" s="2">
        <v>1.3780418931088561E-7</v>
      </c>
      <c r="J225" s="2">
        <f t="shared" si="6"/>
        <v>7.8041893108856009E-2</v>
      </c>
      <c r="K225" s="2">
        <f t="shared" si="7"/>
        <v>0</v>
      </c>
    </row>
    <row r="226" spans="1:11" x14ac:dyDescent="0.3">
      <c r="A226" s="24">
        <v>0</v>
      </c>
      <c r="B226" s="24">
        <v>1</v>
      </c>
      <c r="C226" s="24">
        <v>1</v>
      </c>
      <c r="D226" s="24">
        <v>0.65789473684210531</v>
      </c>
      <c r="E226" s="24">
        <v>0</v>
      </c>
      <c r="F226" s="24">
        <v>0</v>
      </c>
      <c r="G226" s="24">
        <v>5.0748620223090936E-2</v>
      </c>
      <c r="H226" s="25">
        <v>0</v>
      </c>
      <c r="I226" s="2">
        <v>1.4157136055893462E-7</v>
      </c>
      <c r="J226" s="2">
        <f t="shared" si="6"/>
        <v>0.11571360558934618</v>
      </c>
      <c r="K226" s="2">
        <f t="shared" si="7"/>
        <v>1</v>
      </c>
    </row>
    <row r="227" spans="1:11" x14ac:dyDescent="0.3">
      <c r="A227" s="24">
        <v>0</v>
      </c>
      <c r="B227" s="24">
        <v>0</v>
      </c>
      <c r="C227" s="24">
        <v>0</v>
      </c>
      <c r="D227" s="24">
        <v>0.39473684210526316</v>
      </c>
      <c r="E227" s="24">
        <v>1</v>
      </c>
      <c r="F227" s="24">
        <v>0</v>
      </c>
      <c r="G227" s="24">
        <v>3.0351578633425542E-2</v>
      </c>
      <c r="H227" s="25">
        <v>0</v>
      </c>
      <c r="I227" s="2">
        <v>1.3873269631418436E-7</v>
      </c>
      <c r="J227" s="2">
        <f t="shared" si="6"/>
        <v>8.7326963141843628E-2</v>
      </c>
      <c r="K227" s="2">
        <f t="shared" si="7"/>
        <v>0</v>
      </c>
    </row>
    <row r="228" spans="1:11" x14ac:dyDescent="0.3">
      <c r="A228" s="24">
        <v>0</v>
      </c>
      <c r="B228" s="24">
        <v>0</v>
      </c>
      <c r="C228" s="24">
        <v>1</v>
      </c>
      <c r="D228" s="24">
        <v>0.35526315789473684</v>
      </c>
      <c r="E228" s="24">
        <v>0</v>
      </c>
      <c r="F228" s="24">
        <v>0</v>
      </c>
      <c r="G228" s="24">
        <v>1.6908073949327893E-2</v>
      </c>
      <c r="H228" s="25">
        <v>1</v>
      </c>
      <c r="I228" s="2">
        <v>1.4115446416048962E-7</v>
      </c>
      <c r="J228" s="2">
        <f t="shared" si="6"/>
        <v>0.11154464160489619</v>
      </c>
      <c r="K228" s="2">
        <f t="shared" si="7"/>
        <v>1</v>
      </c>
    </row>
    <row r="229" spans="1:11" x14ac:dyDescent="0.3">
      <c r="A229" s="24">
        <v>0</v>
      </c>
      <c r="B229" s="24">
        <v>0</v>
      </c>
      <c r="C229" s="24">
        <v>0</v>
      </c>
      <c r="D229" s="24">
        <v>0.28947368421052633</v>
      </c>
      <c r="E229" s="24">
        <v>1</v>
      </c>
      <c r="F229" s="24">
        <v>1</v>
      </c>
      <c r="G229" s="24">
        <v>7.7464840965535436E-2</v>
      </c>
      <c r="H229" s="25">
        <v>1</v>
      </c>
      <c r="I229" s="2">
        <v>1.4107397379332819E-7</v>
      </c>
      <c r="J229" s="2">
        <f t="shared" si="6"/>
        <v>0.11073973793328196</v>
      </c>
      <c r="K229" s="2">
        <f t="shared" si="7"/>
        <v>1</v>
      </c>
    </row>
    <row r="230" spans="1:11" x14ac:dyDescent="0.3">
      <c r="A230" s="24">
        <v>0</v>
      </c>
      <c r="B230" s="24">
        <v>1</v>
      </c>
      <c r="C230" s="24">
        <v>0</v>
      </c>
      <c r="D230" s="24">
        <v>0.59210526315789469</v>
      </c>
      <c r="E230" s="24">
        <v>0</v>
      </c>
      <c r="F230" s="24">
        <v>0</v>
      </c>
      <c r="G230" s="24">
        <v>0.11594107850967697</v>
      </c>
      <c r="H230" s="25">
        <v>0</v>
      </c>
      <c r="I230" s="2">
        <v>1.4077242705122363E-7</v>
      </c>
      <c r="J230" s="2">
        <f t="shared" si="6"/>
        <v>0.10772427051223632</v>
      </c>
      <c r="K230" s="2">
        <f t="shared" si="7"/>
        <v>0</v>
      </c>
    </row>
    <row r="231" spans="1:11" x14ac:dyDescent="0.3">
      <c r="A231" s="24">
        <v>1</v>
      </c>
      <c r="B231" s="24">
        <v>0</v>
      </c>
      <c r="C231" s="24">
        <v>1</v>
      </c>
      <c r="D231" s="24">
        <v>0.38157894736842107</v>
      </c>
      <c r="E231" s="24">
        <v>0</v>
      </c>
      <c r="F231" s="24">
        <v>0</v>
      </c>
      <c r="G231" s="24">
        <v>2.7049600139910042E-2</v>
      </c>
      <c r="H231" s="25">
        <v>0</v>
      </c>
      <c r="I231" s="2">
        <v>1.4156939334697269E-7</v>
      </c>
      <c r="J231" s="2">
        <f t="shared" si="6"/>
        <v>0.1156939334697269</v>
      </c>
      <c r="K231" s="2">
        <f t="shared" si="7"/>
        <v>1</v>
      </c>
    </row>
    <row r="232" spans="1:11" x14ac:dyDescent="0.3">
      <c r="A232" s="24">
        <v>1</v>
      </c>
      <c r="B232" s="24">
        <v>0</v>
      </c>
      <c r="C232" s="24">
        <v>1</v>
      </c>
      <c r="D232" s="24">
        <v>0.27631578947368424</v>
      </c>
      <c r="E232" s="24">
        <v>1</v>
      </c>
      <c r="F232" s="24">
        <v>2</v>
      </c>
      <c r="G232" s="24">
        <v>2.2446505098674834E-2</v>
      </c>
      <c r="H232" s="25">
        <v>1</v>
      </c>
      <c r="I232" s="2">
        <v>1.4158605747719941E-7</v>
      </c>
      <c r="J232" s="2">
        <f t="shared" si="6"/>
        <v>0.11586057477199407</v>
      </c>
      <c r="K232" s="2">
        <f t="shared" si="7"/>
        <v>1</v>
      </c>
    </row>
    <row r="233" spans="1:11" x14ac:dyDescent="0.3">
      <c r="A233" s="24">
        <v>0</v>
      </c>
      <c r="B233" s="24">
        <v>1</v>
      </c>
      <c r="C233" s="24">
        <v>1</v>
      </c>
      <c r="D233" s="24">
        <v>0.64473684210526316</v>
      </c>
      <c r="E233" s="24">
        <v>0</v>
      </c>
      <c r="F233" s="24">
        <v>0</v>
      </c>
      <c r="G233" s="24">
        <v>0</v>
      </c>
      <c r="H233" s="25">
        <v>0</v>
      </c>
      <c r="I233" s="2">
        <v>1.4156752780933132E-7</v>
      </c>
      <c r="J233" s="2">
        <f t="shared" si="6"/>
        <v>0.11567527809331324</v>
      </c>
      <c r="K233" s="2">
        <f t="shared" si="7"/>
        <v>1</v>
      </c>
    </row>
    <row r="234" spans="1:11" x14ac:dyDescent="0.3">
      <c r="A234" s="24">
        <v>1</v>
      </c>
      <c r="B234" s="24">
        <v>0</v>
      </c>
      <c r="C234" s="24">
        <v>1</v>
      </c>
      <c r="D234" s="24">
        <v>0.57894736842105265</v>
      </c>
      <c r="E234" s="24">
        <v>0</v>
      </c>
      <c r="F234" s="24">
        <v>0</v>
      </c>
      <c r="G234" s="24">
        <v>2.5374310111545468E-2</v>
      </c>
      <c r="H234" s="25">
        <v>0</v>
      </c>
      <c r="I234" s="2">
        <v>1.4158164044800271E-7</v>
      </c>
      <c r="J234" s="2">
        <f t="shared" si="6"/>
        <v>0.11581640448002695</v>
      </c>
      <c r="K234" s="2">
        <f t="shared" si="7"/>
        <v>1</v>
      </c>
    </row>
    <row r="235" spans="1:11" x14ac:dyDescent="0.3">
      <c r="A235" s="24">
        <v>0</v>
      </c>
      <c r="B235" s="24">
        <v>1</v>
      </c>
      <c r="C235" s="24">
        <v>0</v>
      </c>
      <c r="D235" s="24">
        <v>0.71052631578947367</v>
      </c>
      <c r="E235" s="24">
        <v>0</v>
      </c>
      <c r="F235" s="24">
        <v>0</v>
      </c>
      <c r="G235" s="24">
        <v>0.15977676072337862</v>
      </c>
      <c r="H235" s="25">
        <v>0</v>
      </c>
      <c r="I235" s="2">
        <v>1.412591379408136E-7</v>
      </c>
      <c r="J235" s="2">
        <f t="shared" si="6"/>
        <v>0.11259137940813591</v>
      </c>
      <c r="K235" s="2">
        <f t="shared" si="7"/>
        <v>1</v>
      </c>
    </row>
    <row r="236" spans="1:11" x14ac:dyDescent="0.3">
      <c r="A236" s="24">
        <v>0</v>
      </c>
      <c r="B236" s="24">
        <v>0</v>
      </c>
      <c r="C236" s="24">
        <v>0</v>
      </c>
      <c r="D236" s="24">
        <v>0.28947368421052633</v>
      </c>
      <c r="E236" s="24">
        <v>0</v>
      </c>
      <c r="F236" s="24">
        <v>1</v>
      </c>
      <c r="G236" s="24">
        <v>1.6908073949327893E-2</v>
      </c>
      <c r="H236" s="25">
        <v>0</v>
      </c>
      <c r="I236" s="2">
        <v>1.3878587304749885E-7</v>
      </c>
      <c r="J236" s="2">
        <f t="shared" si="6"/>
        <v>8.7858730474988489E-2</v>
      </c>
      <c r="K236" s="2">
        <f t="shared" si="7"/>
        <v>0</v>
      </c>
    </row>
    <row r="237" spans="1:11" x14ac:dyDescent="0.3">
      <c r="A237" s="24">
        <v>1</v>
      </c>
      <c r="B237" s="24">
        <v>0</v>
      </c>
      <c r="C237" s="24">
        <v>1</v>
      </c>
      <c r="D237" s="24">
        <v>0.27631578947368424</v>
      </c>
      <c r="E237" s="24">
        <v>0</v>
      </c>
      <c r="F237" s="24">
        <v>0</v>
      </c>
      <c r="G237" s="24">
        <v>2.2446505098674834E-2</v>
      </c>
      <c r="H237" s="25">
        <v>0</v>
      </c>
      <c r="I237" s="2">
        <v>1.4155184243803131E-7</v>
      </c>
      <c r="J237" s="2">
        <f t="shared" si="6"/>
        <v>0.11551842438031312</v>
      </c>
      <c r="K237" s="2">
        <f t="shared" si="7"/>
        <v>1</v>
      </c>
    </row>
    <row r="238" spans="1:11" x14ac:dyDescent="0.3">
      <c r="A238" s="24">
        <v>0</v>
      </c>
      <c r="B238" s="24">
        <v>0</v>
      </c>
      <c r="C238" s="24">
        <v>1</v>
      </c>
      <c r="D238" s="24">
        <v>6.5789473684210523E-2</v>
      </c>
      <c r="E238" s="24">
        <v>1</v>
      </c>
      <c r="F238" s="24">
        <v>1</v>
      </c>
      <c r="G238" s="24">
        <v>6.1264319894317944E-2</v>
      </c>
      <c r="H238" s="25">
        <v>1</v>
      </c>
      <c r="I238" s="2">
        <v>1.4153009152134336E-7</v>
      </c>
      <c r="J238" s="2">
        <f t="shared" si="6"/>
        <v>0.11530091521343366</v>
      </c>
      <c r="K238" s="2">
        <f t="shared" si="7"/>
        <v>1</v>
      </c>
    </row>
    <row r="239" spans="1:11" x14ac:dyDescent="0.3">
      <c r="A239" s="24">
        <v>0</v>
      </c>
      <c r="B239" s="24">
        <v>0</v>
      </c>
      <c r="C239" s="24">
        <v>1</v>
      </c>
      <c r="D239" s="24">
        <v>0.34210526315789475</v>
      </c>
      <c r="E239" s="24">
        <v>1</v>
      </c>
      <c r="F239" s="24">
        <v>2</v>
      </c>
      <c r="G239" s="24">
        <v>1.5379174171606849E-2</v>
      </c>
      <c r="H239" s="25">
        <v>0</v>
      </c>
      <c r="I239" s="2">
        <v>1.4158513227465735E-7</v>
      </c>
      <c r="J239" s="2">
        <f t="shared" si="6"/>
        <v>0.11585132274657339</v>
      </c>
      <c r="K239" s="2">
        <f t="shared" si="7"/>
        <v>1</v>
      </c>
    </row>
    <row r="240" spans="1:11" x14ac:dyDescent="0.3">
      <c r="A240" s="24">
        <v>0</v>
      </c>
      <c r="B240" s="24">
        <v>0</v>
      </c>
      <c r="C240" s="24">
        <v>0</v>
      </c>
      <c r="D240" s="24">
        <v>0.25</v>
      </c>
      <c r="E240" s="24">
        <v>0</v>
      </c>
      <c r="F240" s="24">
        <v>1</v>
      </c>
      <c r="G240" s="24">
        <v>3.1425107138144774E-2</v>
      </c>
      <c r="H240" s="25">
        <v>1</v>
      </c>
      <c r="I240" s="2">
        <v>1.3810545691385844E-7</v>
      </c>
      <c r="J240" s="2">
        <f t="shared" si="6"/>
        <v>8.1054569138584442E-2</v>
      </c>
      <c r="K240" s="2">
        <f t="shared" si="7"/>
        <v>0</v>
      </c>
    </row>
    <row r="241" spans="1:11" x14ac:dyDescent="0.3">
      <c r="A241" s="24">
        <v>1</v>
      </c>
      <c r="B241" s="24">
        <v>0</v>
      </c>
      <c r="C241" s="24">
        <v>0</v>
      </c>
      <c r="D241" s="24">
        <v>0.31578947368421051</v>
      </c>
      <c r="E241" s="24">
        <v>1</v>
      </c>
      <c r="F241" s="24">
        <v>1</v>
      </c>
      <c r="G241" s="24">
        <v>0.12687155055772734</v>
      </c>
      <c r="H241" s="25">
        <v>0</v>
      </c>
      <c r="I241" s="2">
        <v>1.4156833668809035E-7</v>
      </c>
      <c r="J241" s="2">
        <f t="shared" si="6"/>
        <v>0.11568336688090342</v>
      </c>
      <c r="K241" s="2">
        <f t="shared" si="7"/>
        <v>1</v>
      </c>
    </row>
    <row r="242" spans="1:11" x14ac:dyDescent="0.3">
      <c r="A242" s="24">
        <v>0</v>
      </c>
      <c r="B242" s="24">
        <v>0</v>
      </c>
      <c r="C242" s="24">
        <v>1</v>
      </c>
      <c r="D242" s="24">
        <v>0.31578947368421051</v>
      </c>
      <c r="E242" s="24">
        <v>1</v>
      </c>
      <c r="F242" s="24">
        <v>0</v>
      </c>
      <c r="G242" s="24">
        <v>1.5175789316712771E-2</v>
      </c>
      <c r="H242" s="25">
        <v>1</v>
      </c>
      <c r="I242" s="2">
        <v>1.4146565493505401E-7</v>
      </c>
      <c r="J242" s="2">
        <f t="shared" si="6"/>
        <v>0.11465654935054004</v>
      </c>
      <c r="K242" s="2">
        <f t="shared" si="7"/>
        <v>1</v>
      </c>
    </row>
    <row r="243" spans="1:11" x14ac:dyDescent="0.3">
      <c r="A243" s="24">
        <v>1</v>
      </c>
      <c r="B243" s="24">
        <v>0</v>
      </c>
      <c r="C243" s="24">
        <v>1</v>
      </c>
      <c r="D243" s="24">
        <v>0.75</v>
      </c>
      <c r="E243" s="24">
        <v>0</v>
      </c>
      <c r="F243" s="24">
        <v>0</v>
      </c>
      <c r="G243" s="24">
        <v>2.5374310111545468E-2</v>
      </c>
      <c r="H243" s="25">
        <v>0</v>
      </c>
      <c r="I243" s="2">
        <v>1.4158470041052588E-7</v>
      </c>
      <c r="J243" s="2">
        <f t="shared" si="6"/>
        <v>0.11584700410525883</v>
      </c>
      <c r="K243" s="2">
        <f t="shared" si="7"/>
        <v>1</v>
      </c>
    </row>
    <row r="244" spans="1:11" x14ac:dyDescent="0.3">
      <c r="A244" s="24">
        <v>0</v>
      </c>
      <c r="B244" s="24">
        <v>0</v>
      </c>
      <c r="C244" s="24">
        <v>1</v>
      </c>
      <c r="D244" s="24">
        <v>0.27631578947368424</v>
      </c>
      <c r="E244" s="24">
        <v>0</v>
      </c>
      <c r="F244" s="24">
        <v>0</v>
      </c>
      <c r="G244" s="24">
        <v>1.5126992566498259E-2</v>
      </c>
      <c r="H244" s="25">
        <v>0</v>
      </c>
      <c r="I244" s="2">
        <v>1.4085218147027874E-7</v>
      </c>
      <c r="J244" s="2">
        <f t="shared" si="6"/>
        <v>0.10852181470278732</v>
      </c>
      <c r="K244" s="2">
        <f t="shared" si="7"/>
        <v>0</v>
      </c>
    </row>
    <row r="245" spans="1:11" x14ac:dyDescent="0.3">
      <c r="A245" s="24">
        <v>0</v>
      </c>
      <c r="B245" s="24">
        <v>1</v>
      </c>
      <c r="C245" s="24">
        <v>1</v>
      </c>
      <c r="D245" s="24">
        <v>0.30263157894736842</v>
      </c>
      <c r="E245" s="24">
        <v>0</v>
      </c>
      <c r="F245" s="24">
        <v>0</v>
      </c>
      <c r="G245" s="24">
        <v>0.18249984580226933</v>
      </c>
      <c r="H245" s="25">
        <v>1</v>
      </c>
      <c r="I245" s="2">
        <v>1.4147633718548094E-7</v>
      </c>
      <c r="J245" s="2">
        <f t="shared" si="6"/>
        <v>0.11476337185480934</v>
      </c>
      <c r="K245" s="2">
        <f t="shared" si="7"/>
        <v>1</v>
      </c>
    </row>
    <row r="246" spans="1:11" x14ac:dyDescent="0.3">
      <c r="A246" s="24">
        <v>0</v>
      </c>
      <c r="B246" s="24">
        <v>1</v>
      </c>
      <c r="C246" s="24">
        <v>0</v>
      </c>
      <c r="D246" s="24">
        <v>0.67105263157894735</v>
      </c>
      <c r="E246" s="24">
        <v>0</v>
      </c>
      <c r="F246" s="24">
        <v>0</v>
      </c>
      <c r="G246" s="24">
        <v>7.6903678338068562E-2</v>
      </c>
      <c r="H246" s="25">
        <v>1</v>
      </c>
      <c r="I246" s="2">
        <v>1.4104945976695276E-7</v>
      </c>
      <c r="J246" s="2">
        <f t="shared" si="6"/>
        <v>0.11049459766952752</v>
      </c>
      <c r="K246" s="2">
        <f t="shared" si="7"/>
        <v>1</v>
      </c>
    </row>
    <row r="247" spans="1:11" x14ac:dyDescent="0.3">
      <c r="A247" s="24">
        <v>0</v>
      </c>
      <c r="B247" s="24">
        <v>0</v>
      </c>
      <c r="C247" s="24">
        <v>1</v>
      </c>
      <c r="D247" s="24">
        <v>0.17105263157894737</v>
      </c>
      <c r="E247" s="24">
        <v>0</v>
      </c>
      <c r="F247" s="24">
        <v>0</v>
      </c>
      <c r="G247" s="24">
        <v>3.9525367673753517E-2</v>
      </c>
      <c r="H247" s="25">
        <v>1</v>
      </c>
      <c r="I247" s="2">
        <v>1.4020752278298253E-7</v>
      </c>
      <c r="J247" s="2">
        <f t="shared" si="6"/>
        <v>0.10207522782982537</v>
      </c>
      <c r="K247" s="2">
        <f t="shared" si="7"/>
        <v>0</v>
      </c>
    </row>
    <row r="248" spans="1:11" x14ac:dyDescent="0.3">
      <c r="A248" s="24">
        <v>1</v>
      </c>
      <c r="B248" s="24">
        <v>0</v>
      </c>
      <c r="C248" s="24">
        <v>1</v>
      </c>
      <c r="D248" s="24">
        <v>0.61842105263157898</v>
      </c>
      <c r="E248" s="24">
        <v>1</v>
      </c>
      <c r="F248" s="24">
        <v>0</v>
      </c>
      <c r="G248" s="24">
        <v>2.0494635090094415E-2</v>
      </c>
      <c r="H248" s="25">
        <v>0</v>
      </c>
      <c r="I248" s="2">
        <v>1.4158538610622127E-7</v>
      </c>
      <c r="J248" s="2">
        <f t="shared" si="6"/>
        <v>0.11585386106221263</v>
      </c>
      <c r="K248" s="2">
        <f t="shared" si="7"/>
        <v>1</v>
      </c>
    </row>
    <row r="249" spans="1:11" x14ac:dyDescent="0.3">
      <c r="A249" s="24">
        <v>0</v>
      </c>
      <c r="B249" s="24">
        <v>0</v>
      </c>
      <c r="C249" s="24">
        <v>1</v>
      </c>
      <c r="D249" s="24">
        <v>0.38157894736842107</v>
      </c>
      <c r="E249" s="24">
        <v>0</v>
      </c>
      <c r="F249" s="24">
        <v>0</v>
      </c>
      <c r="G249" s="24">
        <v>4.2989936938983758E-2</v>
      </c>
      <c r="H249" s="25">
        <v>0</v>
      </c>
      <c r="I249" s="2">
        <v>1.4124949501008294E-7</v>
      </c>
      <c r="J249" s="2">
        <f t="shared" si="6"/>
        <v>0.11249495010082944</v>
      </c>
      <c r="K249" s="2">
        <f t="shared" si="7"/>
        <v>1</v>
      </c>
    </row>
    <row r="250" spans="1:11" x14ac:dyDescent="0.3">
      <c r="A250" s="24">
        <v>0</v>
      </c>
      <c r="B250" s="24">
        <v>1</v>
      </c>
      <c r="C250" s="24">
        <v>0</v>
      </c>
      <c r="D250" s="24">
        <v>0.23684210526315788</v>
      </c>
      <c r="E250" s="24">
        <v>0</v>
      </c>
      <c r="F250" s="24">
        <v>0</v>
      </c>
      <c r="G250" s="24">
        <v>0.11711220051482522</v>
      </c>
      <c r="H250" s="25">
        <v>0</v>
      </c>
      <c r="I250" s="2">
        <v>1.3338765894221161E-7</v>
      </c>
      <c r="J250" s="2">
        <f t="shared" si="6"/>
        <v>3.3876589422116021E-2</v>
      </c>
      <c r="K250" s="2">
        <f t="shared" si="7"/>
        <v>0</v>
      </c>
    </row>
    <row r="251" spans="1:11" x14ac:dyDescent="0.3">
      <c r="A251" s="24">
        <v>0</v>
      </c>
      <c r="B251" s="24">
        <v>0</v>
      </c>
      <c r="C251" s="24">
        <v>1</v>
      </c>
      <c r="D251" s="24">
        <v>0.31578947368421051</v>
      </c>
      <c r="E251" s="24">
        <v>2</v>
      </c>
      <c r="F251" s="24">
        <v>0</v>
      </c>
      <c r="G251" s="24">
        <v>1.4151057562208049E-2</v>
      </c>
      <c r="H251" s="25">
        <v>0</v>
      </c>
      <c r="I251" s="2">
        <v>1.4156040902932521E-7</v>
      </c>
      <c r="J251" s="2">
        <f t="shared" si="6"/>
        <v>0.11560409029325203</v>
      </c>
      <c r="K251" s="2">
        <f t="shared" si="7"/>
        <v>1</v>
      </c>
    </row>
    <row r="252" spans="1:11" x14ac:dyDescent="0.3">
      <c r="A252" s="24">
        <v>0</v>
      </c>
      <c r="B252" s="24">
        <v>1</v>
      </c>
      <c r="C252" s="24">
        <v>0</v>
      </c>
      <c r="D252" s="24">
        <v>0.63157894736842102</v>
      </c>
      <c r="E252" s="24">
        <v>0</v>
      </c>
      <c r="F252" s="24">
        <v>0</v>
      </c>
      <c r="G252" s="24">
        <v>0.15458810467956932</v>
      </c>
      <c r="H252" s="25">
        <v>0</v>
      </c>
      <c r="I252" s="2">
        <v>1.4102448408671072E-7</v>
      </c>
      <c r="J252" s="2">
        <f t="shared" si="6"/>
        <v>0.11024484086710729</v>
      </c>
      <c r="K252" s="2">
        <f t="shared" si="7"/>
        <v>1</v>
      </c>
    </row>
    <row r="253" spans="1:11" x14ac:dyDescent="0.3">
      <c r="A253" s="24">
        <v>0</v>
      </c>
      <c r="B253" s="24">
        <v>0</v>
      </c>
      <c r="C253" s="24">
        <v>1</v>
      </c>
      <c r="D253" s="24">
        <v>0.28947368421052633</v>
      </c>
      <c r="E253" s="24">
        <v>0</v>
      </c>
      <c r="F253" s="24">
        <v>0</v>
      </c>
      <c r="G253" s="24">
        <v>1.5175789316712771E-2</v>
      </c>
      <c r="H253" s="25">
        <v>0</v>
      </c>
      <c r="I253" s="2">
        <v>1.4091378870909428E-7</v>
      </c>
      <c r="J253" s="2">
        <f t="shared" si="6"/>
        <v>0.10913788709094274</v>
      </c>
      <c r="K253" s="2">
        <f t="shared" si="7"/>
        <v>0</v>
      </c>
    </row>
    <row r="254" spans="1:11" x14ac:dyDescent="0.3">
      <c r="A254" s="24">
        <v>0</v>
      </c>
      <c r="B254" s="24">
        <v>0</v>
      </c>
      <c r="C254" s="24">
        <v>1</v>
      </c>
      <c r="D254" s="24">
        <v>0.40789473684210525</v>
      </c>
      <c r="E254" s="24">
        <v>0</v>
      </c>
      <c r="F254" s="24">
        <v>0</v>
      </c>
      <c r="G254" s="24">
        <v>1.5094396337354966E-2</v>
      </c>
      <c r="H254" s="25">
        <v>0</v>
      </c>
      <c r="I254" s="2">
        <v>1.4128073577122778E-7</v>
      </c>
      <c r="J254" s="2">
        <f t="shared" si="6"/>
        <v>0.1128073577122779</v>
      </c>
      <c r="K254" s="2">
        <f t="shared" si="7"/>
        <v>1</v>
      </c>
    </row>
    <row r="255" spans="1:11" x14ac:dyDescent="0.3">
      <c r="A255" s="24">
        <v>0</v>
      </c>
      <c r="B255" s="24">
        <v>1</v>
      </c>
      <c r="C255" s="24">
        <v>0</v>
      </c>
      <c r="D255" s="24">
        <v>0.39473684210526316</v>
      </c>
      <c r="E255" s="24">
        <v>0</v>
      </c>
      <c r="F255" s="24">
        <v>0</v>
      </c>
      <c r="G255" s="24">
        <v>0.32179836714362564</v>
      </c>
      <c r="H255" s="25">
        <v>0</v>
      </c>
      <c r="I255" s="2">
        <v>1.3989008228306605E-7</v>
      </c>
      <c r="J255" s="2">
        <f t="shared" si="6"/>
        <v>9.8900822830660484E-2</v>
      </c>
      <c r="K255" s="2">
        <f t="shared" si="7"/>
        <v>0</v>
      </c>
    </row>
    <row r="256" spans="1:11" x14ac:dyDescent="0.3">
      <c r="A256" s="24">
        <v>1</v>
      </c>
      <c r="B256" s="24">
        <v>0</v>
      </c>
      <c r="C256" s="24">
        <v>1</v>
      </c>
      <c r="D256" s="24">
        <v>0.5</v>
      </c>
      <c r="E256" s="24">
        <v>0</v>
      </c>
      <c r="F256" s="24">
        <v>0</v>
      </c>
      <c r="G256" s="24">
        <v>4.098927018018883E-2</v>
      </c>
      <c r="H256" s="25">
        <v>1</v>
      </c>
      <c r="I256" s="2">
        <v>1.4157884313998685E-7</v>
      </c>
      <c r="J256" s="2">
        <f t="shared" si="6"/>
        <v>0.1157884313998685</v>
      </c>
      <c r="K256" s="2">
        <f t="shared" si="7"/>
        <v>1</v>
      </c>
    </row>
    <row r="257" spans="1:11" x14ac:dyDescent="0.3">
      <c r="A257" s="24">
        <v>0</v>
      </c>
      <c r="B257" s="24">
        <v>1</v>
      </c>
      <c r="C257" s="24">
        <v>0</v>
      </c>
      <c r="D257" s="24">
        <v>0.28947368421052633</v>
      </c>
      <c r="E257" s="24">
        <v>0</v>
      </c>
      <c r="F257" s="24">
        <v>0</v>
      </c>
      <c r="G257" s="24">
        <v>0.11594107850967697</v>
      </c>
      <c r="H257" s="25">
        <v>0</v>
      </c>
      <c r="I257" s="2">
        <v>1.3568339345473025E-7</v>
      </c>
      <c r="J257" s="2">
        <f t="shared" si="6"/>
        <v>5.6833934547302567E-2</v>
      </c>
      <c r="K257" s="2">
        <f t="shared" si="7"/>
        <v>0</v>
      </c>
    </row>
    <row r="258" spans="1:11" x14ac:dyDescent="0.3">
      <c r="A258" s="24">
        <v>0</v>
      </c>
      <c r="B258" s="24">
        <v>1</v>
      </c>
      <c r="C258" s="24">
        <v>1</v>
      </c>
      <c r="D258" s="24">
        <v>0.22368421052631579</v>
      </c>
      <c r="E258" s="24">
        <v>2</v>
      </c>
      <c r="F258" s="24">
        <v>1</v>
      </c>
      <c r="G258" s="24">
        <v>9.1933077404137808E-2</v>
      </c>
      <c r="H258" s="25">
        <v>1</v>
      </c>
      <c r="I258" s="2">
        <v>1.4158504883173423E-7</v>
      </c>
      <c r="J258" s="2">
        <f t="shared" si="6"/>
        <v>0.11585048831734235</v>
      </c>
      <c r="K258" s="2">
        <f t="shared" si="7"/>
        <v>1</v>
      </c>
    </row>
    <row r="259" spans="1:11" x14ac:dyDescent="0.3">
      <c r="A259" s="24">
        <v>0</v>
      </c>
      <c r="B259" s="24">
        <v>1</v>
      </c>
      <c r="C259" s="24">
        <v>1</v>
      </c>
      <c r="D259" s="24">
        <v>0.56578947368421051</v>
      </c>
      <c r="E259" s="24">
        <v>0</v>
      </c>
      <c r="F259" s="24">
        <v>0</v>
      </c>
      <c r="G259" s="24">
        <v>5.4107398133856122E-2</v>
      </c>
      <c r="H259" s="25">
        <v>0</v>
      </c>
      <c r="I259" s="2">
        <v>1.4155903509268078E-7</v>
      </c>
      <c r="J259" s="2">
        <f t="shared" ref="J259:J266" si="8">I259*10000000 - 1.3</f>
        <v>0.11559035092680769</v>
      </c>
      <c r="K259" s="2">
        <f t="shared" ref="K259:K266" si="9">IF(J259&gt;0.11, 1, 0)</f>
        <v>1</v>
      </c>
    </row>
    <row r="260" spans="1:11" x14ac:dyDescent="0.3">
      <c r="A260" s="24">
        <v>1</v>
      </c>
      <c r="B260" s="24">
        <v>0</v>
      </c>
      <c r="C260" s="24">
        <v>1</v>
      </c>
      <c r="D260" s="24">
        <v>0.26315789473684209</v>
      </c>
      <c r="E260" s="24">
        <v>1</v>
      </c>
      <c r="F260" s="24">
        <v>0</v>
      </c>
      <c r="G260" s="24">
        <v>2.705779799394608E-2</v>
      </c>
      <c r="H260" s="25">
        <v>0</v>
      </c>
      <c r="I260" s="2">
        <v>1.415782658307502E-7</v>
      </c>
      <c r="J260" s="2">
        <f t="shared" si="8"/>
        <v>0.1157826583075019</v>
      </c>
      <c r="K260" s="2">
        <f t="shared" si="9"/>
        <v>1</v>
      </c>
    </row>
    <row r="261" spans="1:11" x14ac:dyDescent="0.3">
      <c r="A261" s="24">
        <v>1</v>
      </c>
      <c r="B261" s="24">
        <v>0</v>
      </c>
      <c r="C261" s="24">
        <v>1</v>
      </c>
      <c r="D261" s="24">
        <v>0.30263157894736842</v>
      </c>
      <c r="E261" s="24">
        <v>0</v>
      </c>
      <c r="F261" s="24">
        <v>0</v>
      </c>
      <c r="G261" s="24">
        <v>2.0494635090094415E-2</v>
      </c>
      <c r="H261" s="25">
        <v>0</v>
      </c>
      <c r="I261" s="2">
        <v>1.4155721908752897E-7</v>
      </c>
      <c r="J261" s="2">
        <f t="shared" si="8"/>
        <v>0.11557219087528958</v>
      </c>
      <c r="K261" s="2">
        <f t="shared" si="9"/>
        <v>1</v>
      </c>
    </row>
    <row r="262" spans="1:11" x14ac:dyDescent="0.3">
      <c r="A262" s="24">
        <v>0</v>
      </c>
      <c r="B262" s="24">
        <v>1</v>
      </c>
      <c r="C262" s="24">
        <v>1</v>
      </c>
      <c r="D262" s="24">
        <v>0.65789473684210531</v>
      </c>
      <c r="E262" s="24">
        <v>0</v>
      </c>
      <c r="F262" s="24">
        <v>2</v>
      </c>
      <c r="G262" s="24">
        <v>0.41282050681475896</v>
      </c>
      <c r="H262" s="25">
        <v>1</v>
      </c>
      <c r="I262" s="2">
        <v>1.4158607680928317E-7</v>
      </c>
      <c r="J262" s="2">
        <f t="shared" si="8"/>
        <v>0.11586076809283163</v>
      </c>
      <c r="K262" s="2">
        <f t="shared" si="9"/>
        <v>1</v>
      </c>
    </row>
    <row r="263" spans="1:11" x14ac:dyDescent="0.3">
      <c r="A263" s="24">
        <v>0</v>
      </c>
      <c r="B263" s="24">
        <v>0</v>
      </c>
      <c r="C263" s="24">
        <v>0</v>
      </c>
      <c r="D263" s="24">
        <v>3.9473684210526314E-2</v>
      </c>
      <c r="E263" s="24">
        <v>0</v>
      </c>
      <c r="F263" s="24">
        <v>0</v>
      </c>
      <c r="G263" s="24">
        <v>2.6887009368195294E-2</v>
      </c>
      <c r="H263" s="25">
        <v>0</v>
      </c>
      <c r="I263" s="2">
        <v>7.6405305466677523E-8</v>
      </c>
      <c r="J263" s="2">
        <f t="shared" si="8"/>
        <v>-0.53594694533322484</v>
      </c>
      <c r="K263" s="2">
        <f t="shared" si="9"/>
        <v>0</v>
      </c>
    </row>
    <row r="264" spans="1:11" x14ac:dyDescent="0.3">
      <c r="A264" s="24">
        <v>0</v>
      </c>
      <c r="B264" s="24">
        <v>0</v>
      </c>
      <c r="C264" s="24">
        <v>0</v>
      </c>
      <c r="D264" s="24">
        <v>0.36842105263157893</v>
      </c>
      <c r="E264" s="24">
        <v>1</v>
      </c>
      <c r="F264" s="24">
        <v>1</v>
      </c>
      <c r="G264" s="24">
        <v>1.5175789316712771E-2</v>
      </c>
      <c r="H264" s="25">
        <v>1</v>
      </c>
      <c r="I264" s="2">
        <v>1.4122589504246302E-7</v>
      </c>
      <c r="J264" s="2">
        <f t="shared" si="8"/>
        <v>0.11225895042463008</v>
      </c>
      <c r="K264" s="2">
        <f t="shared" si="9"/>
        <v>1</v>
      </c>
    </row>
    <row r="265" spans="1:11" x14ac:dyDescent="0.3">
      <c r="A265" s="24">
        <v>0</v>
      </c>
      <c r="B265" s="24">
        <v>1</v>
      </c>
      <c r="C265" s="24">
        <v>0</v>
      </c>
      <c r="D265" s="24">
        <v>0.51315789473684215</v>
      </c>
      <c r="E265" s="24">
        <v>0</v>
      </c>
      <c r="F265" s="24">
        <v>0</v>
      </c>
      <c r="G265" s="24">
        <v>0.21255864393440779</v>
      </c>
      <c r="H265" s="25">
        <v>0</v>
      </c>
      <c r="I265" s="2">
        <v>1.4053646549258566E-7</v>
      </c>
      <c r="J265" s="2">
        <f t="shared" si="8"/>
        <v>0.10536465492585645</v>
      </c>
      <c r="K265" s="2">
        <f t="shared" si="9"/>
        <v>0</v>
      </c>
    </row>
    <row r="266" spans="1:11" x14ac:dyDescent="0.3">
      <c r="A266" s="24">
        <v>0</v>
      </c>
      <c r="B266" s="24">
        <v>0</v>
      </c>
      <c r="C266" s="24">
        <v>1</v>
      </c>
      <c r="D266" s="24">
        <v>0.50657894736842102</v>
      </c>
      <c r="E266" s="24">
        <v>0</v>
      </c>
      <c r="F266" s="24">
        <v>0</v>
      </c>
      <c r="G266" s="24">
        <v>1.4151057562208049E-2</v>
      </c>
      <c r="H266" s="25">
        <v>0</v>
      </c>
      <c r="I266" s="2">
        <v>1.4142773292221172E-7</v>
      </c>
      <c r="J266" s="2">
        <f t="shared" si="8"/>
        <v>0.11427732922211709</v>
      </c>
      <c r="K266" s="2">
        <f t="shared" si="9"/>
        <v>1</v>
      </c>
    </row>
    <row r="267" spans="1:11" x14ac:dyDescent="0.3">
      <c r="A267"/>
      <c r="B267"/>
      <c r="C267"/>
      <c r="D267"/>
      <c r="E267"/>
      <c r="F267"/>
    </row>
    <row r="268" spans="1:11" x14ac:dyDescent="0.3">
      <c r="A268"/>
      <c r="B268"/>
      <c r="C268"/>
      <c r="D268"/>
      <c r="E268"/>
      <c r="F268"/>
    </row>
    <row r="269" spans="1:11" x14ac:dyDescent="0.3">
      <c r="A269"/>
      <c r="B269"/>
      <c r="C269"/>
      <c r="D269"/>
      <c r="E269"/>
      <c r="F269"/>
    </row>
    <row r="270" spans="1:11" x14ac:dyDescent="0.3">
      <c r="A270"/>
      <c r="B270"/>
      <c r="C270"/>
      <c r="D270"/>
      <c r="E270"/>
      <c r="F270"/>
    </row>
    <row r="271" spans="1:11" x14ac:dyDescent="0.3">
      <c r="A271"/>
      <c r="B271"/>
      <c r="C271"/>
      <c r="D271"/>
      <c r="E271"/>
      <c r="F271"/>
    </row>
    <row r="272" spans="1:11" x14ac:dyDescent="0.3">
      <c r="A272"/>
      <c r="B272"/>
      <c r="C272"/>
      <c r="D272"/>
      <c r="E272"/>
      <c r="F272"/>
    </row>
    <row r="273" spans="1:14" x14ac:dyDescent="0.3">
      <c r="A273"/>
      <c r="B273"/>
      <c r="C273"/>
      <c r="D273"/>
      <c r="E273"/>
      <c r="F273"/>
    </row>
    <row r="274" spans="1:14" x14ac:dyDescent="0.3">
      <c r="A274"/>
      <c r="B274"/>
      <c r="C274"/>
      <c r="D274"/>
      <c r="E274"/>
      <c r="F274"/>
    </row>
    <row r="275" spans="1:14" x14ac:dyDescent="0.3">
      <c r="A275"/>
      <c r="B275"/>
      <c r="C275"/>
      <c r="D275"/>
      <c r="E275"/>
      <c r="F275"/>
    </row>
    <row r="276" spans="1:14" x14ac:dyDescent="0.3">
      <c r="A276"/>
      <c r="B276"/>
      <c r="C276"/>
      <c r="D276"/>
      <c r="E276"/>
      <c r="F276"/>
    </row>
    <row r="277" spans="1:14" x14ac:dyDescent="0.3">
      <c r="A277"/>
      <c r="B277"/>
      <c r="C277"/>
      <c r="D277"/>
      <c r="E277"/>
      <c r="F277"/>
    </row>
    <row r="278" spans="1:14" x14ac:dyDescent="0.3">
      <c r="A278"/>
      <c r="B278"/>
      <c r="C278"/>
      <c r="D278"/>
      <c r="E278"/>
      <c r="F278"/>
    </row>
    <row r="279" spans="1:14" x14ac:dyDescent="0.3">
      <c r="A279"/>
      <c r="B279"/>
      <c r="C279"/>
      <c r="D279"/>
      <c r="E279"/>
      <c r="F279"/>
    </row>
    <row r="280" spans="1:14" x14ac:dyDescent="0.3">
      <c r="A280"/>
      <c r="B280"/>
      <c r="C280"/>
      <c r="D280"/>
      <c r="E280"/>
      <c r="F280"/>
    </row>
    <row r="281" spans="1:14" x14ac:dyDescent="0.3">
      <c r="A281"/>
      <c r="B281"/>
      <c r="C281"/>
      <c r="D281"/>
      <c r="E281"/>
      <c r="F281"/>
    </row>
    <row r="282" spans="1:14" x14ac:dyDescent="0.3">
      <c r="A282"/>
      <c r="B282"/>
      <c r="C282"/>
      <c r="D282"/>
      <c r="E282"/>
      <c r="F282"/>
    </row>
    <row r="283" spans="1:14" x14ac:dyDescent="0.3">
      <c r="A283"/>
      <c r="B283"/>
      <c r="C283"/>
      <c r="D283"/>
      <c r="E283"/>
      <c r="F283"/>
    </row>
    <row r="284" spans="1:14" x14ac:dyDescent="0.3">
      <c r="A284"/>
      <c r="B284"/>
      <c r="C284"/>
      <c r="D284"/>
      <c r="E284"/>
      <c r="F284"/>
    </row>
    <row r="285" spans="1:14" x14ac:dyDescent="0.3">
      <c r="A285"/>
      <c r="B285"/>
      <c r="C285"/>
      <c r="D285"/>
      <c r="E285"/>
      <c r="F285"/>
    </row>
    <row r="286" spans="1:14" x14ac:dyDescent="0.3">
      <c r="A286"/>
      <c r="B286"/>
      <c r="C286"/>
      <c r="D286"/>
      <c r="E286"/>
      <c r="F286"/>
    </row>
    <row r="287" spans="1:14" x14ac:dyDescent="0.3">
      <c r="A287"/>
      <c r="B287"/>
      <c r="C287"/>
      <c r="D287"/>
      <c r="E287"/>
      <c r="F287"/>
    </row>
    <row r="288" spans="1:14" x14ac:dyDescent="0.3">
      <c r="A288">
        <v>3</v>
      </c>
      <c r="I288" t="s">
        <v>23</v>
      </c>
      <c r="J288"/>
      <c r="K288">
        <v>0</v>
      </c>
      <c r="L288">
        <v>0</v>
      </c>
      <c r="M288">
        <v>7.8792</v>
      </c>
      <c r="N288">
        <v>0</v>
      </c>
    </row>
    <row r="289" spans="1:14" x14ac:dyDescent="0.3">
      <c r="A289">
        <v>3</v>
      </c>
      <c r="I289" t="s">
        <v>23</v>
      </c>
      <c r="J289"/>
      <c r="K289">
        <v>0</v>
      </c>
      <c r="L289">
        <v>0</v>
      </c>
      <c r="M289">
        <v>7.75</v>
      </c>
      <c r="N289">
        <v>0</v>
      </c>
    </row>
    <row r="290" spans="1:14" x14ac:dyDescent="0.3">
      <c r="A290"/>
      <c r="B290"/>
      <c r="C290"/>
      <c r="D290"/>
      <c r="E290"/>
      <c r="F290"/>
    </row>
    <row r="291" spans="1:14" x14ac:dyDescent="0.3">
      <c r="A291"/>
      <c r="B291"/>
      <c r="C291"/>
      <c r="D291"/>
      <c r="E291"/>
      <c r="F291"/>
    </row>
    <row r="292" spans="1:14" x14ac:dyDescent="0.3">
      <c r="A292"/>
      <c r="B292"/>
      <c r="C292"/>
      <c r="D292"/>
      <c r="E292"/>
      <c r="F292"/>
    </row>
    <row r="293" spans="1:14" x14ac:dyDescent="0.3">
      <c r="A293"/>
      <c r="B293"/>
      <c r="C293"/>
      <c r="D293"/>
      <c r="E293"/>
      <c r="F293"/>
    </row>
    <row r="294" spans="1:14" x14ac:dyDescent="0.3">
      <c r="A294"/>
      <c r="B294"/>
      <c r="C294"/>
      <c r="D294"/>
      <c r="E294"/>
      <c r="F294"/>
    </row>
    <row r="295" spans="1:14" x14ac:dyDescent="0.3">
      <c r="A295"/>
      <c r="B295"/>
      <c r="C295"/>
      <c r="D295"/>
      <c r="E295"/>
      <c r="F295"/>
    </row>
    <row r="296" spans="1:14" x14ac:dyDescent="0.3">
      <c r="A296">
        <v>3</v>
      </c>
      <c r="I296" t="s">
        <v>26</v>
      </c>
      <c r="J296"/>
      <c r="K296">
        <v>1</v>
      </c>
      <c r="L296">
        <v>9</v>
      </c>
      <c r="M296">
        <v>69.55</v>
      </c>
      <c r="N296">
        <v>0</v>
      </c>
    </row>
    <row r="297" spans="1:14" x14ac:dyDescent="0.3">
      <c r="A297">
        <v>3</v>
      </c>
      <c r="I297" t="s">
        <v>23</v>
      </c>
      <c r="J297"/>
      <c r="K297">
        <v>1</v>
      </c>
      <c r="L297">
        <v>0</v>
      </c>
      <c r="M297">
        <v>14.458299999999999</v>
      </c>
      <c r="N297">
        <v>0</v>
      </c>
    </row>
    <row r="298" spans="1:14" x14ac:dyDescent="0.3">
      <c r="A298"/>
      <c r="B298"/>
      <c r="C298"/>
      <c r="D298"/>
      <c r="E298"/>
      <c r="F298"/>
    </row>
    <row r="299" spans="1:14" x14ac:dyDescent="0.3">
      <c r="A299"/>
      <c r="B299"/>
      <c r="C299"/>
      <c r="D299"/>
      <c r="E299"/>
      <c r="F299"/>
    </row>
    <row r="300" spans="1:14" x14ac:dyDescent="0.3">
      <c r="A300"/>
      <c r="B300"/>
      <c r="C300"/>
      <c r="D300"/>
      <c r="E300"/>
      <c r="F300"/>
    </row>
    <row r="301" spans="1:14" x14ac:dyDescent="0.3">
      <c r="A301"/>
      <c r="B301"/>
      <c r="C301"/>
      <c r="D301"/>
      <c r="E301"/>
      <c r="F301"/>
    </row>
    <row r="302" spans="1:14" x14ac:dyDescent="0.3">
      <c r="A302"/>
      <c r="B302"/>
      <c r="C302"/>
      <c r="D302"/>
      <c r="E302"/>
      <c r="F302"/>
    </row>
    <row r="303" spans="1:14" x14ac:dyDescent="0.3">
      <c r="A303"/>
      <c r="B303"/>
      <c r="C303"/>
      <c r="D303"/>
      <c r="E303"/>
      <c r="F303"/>
    </row>
    <row r="304" spans="1:14" x14ac:dyDescent="0.3">
      <c r="A304"/>
      <c r="B304"/>
      <c r="C304"/>
      <c r="D304"/>
      <c r="E304"/>
      <c r="F304"/>
    </row>
    <row r="305" spans="1:14" x14ac:dyDescent="0.3">
      <c r="A305"/>
      <c r="B305"/>
      <c r="C305"/>
      <c r="D305"/>
      <c r="E305"/>
      <c r="F305"/>
    </row>
    <row r="306" spans="1:14" x14ac:dyDescent="0.3">
      <c r="A306"/>
      <c r="B306"/>
      <c r="C306"/>
      <c r="D306"/>
      <c r="E306"/>
      <c r="F306"/>
    </row>
    <row r="307" spans="1:14" x14ac:dyDescent="0.3">
      <c r="A307"/>
      <c r="B307"/>
      <c r="C307"/>
      <c r="D307"/>
      <c r="E307"/>
      <c r="F307"/>
    </row>
    <row r="308" spans="1:14" x14ac:dyDescent="0.3">
      <c r="A308"/>
      <c r="B308"/>
      <c r="C308"/>
      <c r="D308"/>
      <c r="E308"/>
      <c r="F308"/>
    </row>
    <row r="309" spans="1:14" x14ac:dyDescent="0.3">
      <c r="A309"/>
      <c r="B309"/>
      <c r="C309"/>
      <c r="D309"/>
      <c r="E309"/>
      <c r="F309"/>
    </row>
    <row r="310" spans="1:14" x14ac:dyDescent="0.3">
      <c r="A310"/>
      <c r="B310"/>
      <c r="C310"/>
      <c r="D310"/>
      <c r="E310"/>
      <c r="F310"/>
    </row>
    <row r="311" spans="1:14" x14ac:dyDescent="0.3">
      <c r="A311">
        <v>3</v>
      </c>
      <c r="I311" t="s">
        <v>23</v>
      </c>
      <c r="J311"/>
      <c r="K311">
        <v>0</v>
      </c>
      <c r="L311">
        <v>0</v>
      </c>
      <c r="M311">
        <v>7.75</v>
      </c>
      <c r="N311">
        <v>0</v>
      </c>
    </row>
    <row r="312" spans="1:14" x14ac:dyDescent="0.3">
      <c r="A312"/>
      <c r="B312"/>
      <c r="C312"/>
      <c r="D312"/>
      <c r="E312"/>
      <c r="F312"/>
    </row>
    <row r="313" spans="1:14" x14ac:dyDescent="0.3">
      <c r="A313">
        <v>3</v>
      </c>
      <c r="I313" t="s">
        <v>26</v>
      </c>
      <c r="J313"/>
      <c r="K313">
        <v>0</v>
      </c>
      <c r="L313">
        <v>0</v>
      </c>
      <c r="M313">
        <v>14.5</v>
      </c>
      <c r="N313">
        <v>1</v>
      </c>
    </row>
    <row r="314" spans="1:14" x14ac:dyDescent="0.3">
      <c r="A314"/>
      <c r="B314"/>
      <c r="C314"/>
      <c r="D314"/>
      <c r="E314"/>
      <c r="F314"/>
    </row>
    <row r="315" spans="1:14" x14ac:dyDescent="0.3">
      <c r="A315">
        <v>2</v>
      </c>
      <c r="I315" t="s">
        <v>23</v>
      </c>
      <c r="J315"/>
      <c r="K315">
        <v>0</v>
      </c>
      <c r="L315">
        <v>0</v>
      </c>
      <c r="M315">
        <v>12.875</v>
      </c>
      <c r="N315">
        <v>0</v>
      </c>
    </row>
    <row r="316" spans="1:14" x14ac:dyDescent="0.3">
      <c r="A316"/>
      <c r="B316"/>
      <c r="C316"/>
      <c r="D316"/>
      <c r="E316"/>
      <c r="F316"/>
    </row>
    <row r="317" spans="1:14" x14ac:dyDescent="0.3">
      <c r="A317"/>
      <c r="B317"/>
      <c r="C317"/>
      <c r="D317"/>
      <c r="E317"/>
      <c r="F317"/>
    </row>
    <row r="318" spans="1:14" x14ac:dyDescent="0.3">
      <c r="A318"/>
      <c r="B318"/>
      <c r="C318"/>
      <c r="D318"/>
      <c r="E318"/>
      <c r="F318"/>
    </row>
    <row r="319" spans="1:14" x14ac:dyDescent="0.3">
      <c r="A319"/>
      <c r="B319"/>
      <c r="C319"/>
      <c r="D319"/>
      <c r="E319"/>
      <c r="F319"/>
    </row>
    <row r="320" spans="1:14" x14ac:dyDescent="0.3">
      <c r="A320"/>
      <c r="B320"/>
      <c r="C320"/>
      <c r="D320"/>
      <c r="E320"/>
      <c r="F320"/>
    </row>
    <row r="321" spans="1:6" x14ac:dyDescent="0.3">
      <c r="A321"/>
      <c r="B321"/>
      <c r="C321"/>
      <c r="D321"/>
      <c r="E321"/>
      <c r="F321"/>
    </row>
    <row r="322" spans="1:6" x14ac:dyDescent="0.3">
      <c r="A322"/>
      <c r="B322"/>
      <c r="C322"/>
      <c r="D322"/>
      <c r="E322"/>
      <c r="F322"/>
    </row>
    <row r="323" spans="1:6" x14ac:dyDescent="0.3">
      <c r="A323"/>
      <c r="B323"/>
      <c r="C323"/>
      <c r="D323"/>
      <c r="E323"/>
      <c r="F323"/>
    </row>
    <row r="324" spans="1:6" x14ac:dyDescent="0.3">
      <c r="A324"/>
      <c r="B324"/>
      <c r="C324"/>
      <c r="D324"/>
      <c r="E324"/>
      <c r="F324"/>
    </row>
    <row r="325" spans="1:6" x14ac:dyDescent="0.3">
      <c r="A325"/>
      <c r="B325"/>
      <c r="C325"/>
      <c r="D325"/>
      <c r="E325"/>
      <c r="F325"/>
    </row>
    <row r="326" spans="1:6" x14ac:dyDescent="0.3">
      <c r="A326"/>
      <c r="B326"/>
      <c r="C326"/>
      <c r="D326"/>
      <c r="E326"/>
      <c r="F326"/>
    </row>
    <row r="327" spans="1:6" x14ac:dyDescent="0.3">
      <c r="A327"/>
      <c r="B327"/>
      <c r="C327"/>
      <c r="D327"/>
      <c r="E327"/>
      <c r="F327"/>
    </row>
    <row r="328" spans="1:6" x14ac:dyDescent="0.3">
      <c r="A328"/>
      <c r="B328"/>
      <c r="C328"/>
      <c r="D328"/>
      <c r="E328"/>
      <c r="F328"/>
    </row>
    <row r="329" spans="1:6" x14ac:dyDescent="0.3">
      <c r="A329"/>
      <c r="B329"/>
      <c r="C329"/>
      <c r="D329"/>
      <c r="E329"/>
      <c r="F329"/>
    </row>
    <row r="330" spans="1:6" x14ac:dyDescent="0.3">
      <c r="A330"/>
      <c r="B330"/>
      <c r="C330"/>
      <c r="D330"/>
      <c r="E330"/>
      <c r="F330"/>
    </row>
    <row r="331" spans="1:6" x14ac:dyDescent="0.3">
      <c r="A331"/>
      <c r="B331"/>
      <c r="C331"/>
      <c r="D331"/>
      <c r="E331"/>
      <c r="F331"/>
    </row>
    <row r="332" spans="1:6" x14ac:dyDescent="0.3">
      <c r="A332"/>
      <c r="B332"/>
      <c r="C332"/>
      <c r="D332"/>
      <c r="E332"/>
      <c r="F332"/>
    </row>
    <row r="333" spans="1:6" x14ac:dyDescent="0.3">
      <c r="A333"/>
      <c r="B333"/>
      <c r="C333"/>
      <c r="D333"/>
      <c r="E333"/>
      <c r="F333"/>
    </row>
    <row r="334" spans="1:6" x14ac:dyDescent="0.3">
      <c r="A334"/>
      <c r="B334"/>
      <c r="C334"/>
      <c r="D334"/>
      <c r="E334"/>
      <c r="F334"/>
    </row>
    <row r="335" spans="1:6" x14ac:dyDescent="0.3">
      <c r="A335"/>
      <c r="B335"/>
      <c r="C335"/>
      <c r="D335"/>
      <c r="E335"/>
      <c r="F335"/>
    </row>
    <row r="336" spans="1:6" x14ac:dyDescent="0.3">
      <c r="A336"/>
      <c r="B336"/>
      <c r="C336"/>
      <c r="D336"/>
      <c r="E336"/>
      <c r="F336"/>
    </row>
    <row r="337" spans="1:14" x14ac:dyDescent="0.3">
      <c r="A337"/>
      <c r="B337"/>
      <c r="C337"/>
      <c r="D337"/>
      <c r="E337"/>
      <c r="F337"/>
    </row>
    <row r="338" spans="1:14" x14ac:dyDescent="0.3">
      <c r="A338"/>
      <c r="B338"/>
      <c r="C338"/>
      <c r="D338"/>
      <c r="E338"/>
      <c r="F338"/>
    </row>
    <row r="339" spans="1:14" x14ac:dyDescent="0.3">
      <c r="A339">
        <v>3</v>
      </c>
      <c r="I339" t="s">
        <v>26</v>
      </c>
      <c r="J339"/>
      <c r="K339">
        <v>0</v>
      </c>
      <c r="L339">
        <v>0</v>
      </c>
      <c r="M339">
        <v>7.7207999999999997</v>
      </c>
      <c r="N339">
        <v>1</v>
      </c>
    </row>
    <row r="340" spans="1:14" x14ac:dyDescent="0.3">
      <c r="A340"/>
      <c r="B340"/>
      <c r="C340"/>
      <c r="D340"/>
      <c r="E340"/>
      <c r="F340"/>
    </row>
    <row r="341" spans="1:14" x14ac:dyDescent="0.3">
      <c r="A341">
        <v>3</v>
      </c>
      <c r="I341" t="s">
        <v>26</v>
      </c>
      <c r="J341"/>
      <c r="K341">
        <v>0</v>
      </c>
      <c r="L341">
        <v>0</v>
      </c>
      <c r="M341">
        <v>7.75</v>
      </c>
      <c r="N341">
        <v>1</v>
      </c>
    </row>
    <row r="342" spans="1:14" x14ac:dyDescent="0.3">
      <c r="A342"/>
      <c r="B342"/>
      <c r="C342"/>
      <c r="D342"/>
      <c r="E342"/>
      <c r="F342"/>
    </row>
    <row r="343" spans="1:14" x14ac:dyDescent="0.3">
      <c r="A343"/>
      <c r="B343"/>
      <c r="C343"/>
      <c r="D343"/>
      <c r="E343"/>
      <c r="F343"/>
    </row>
    <row r="344" spans="1:14" x14ac:dyDescent="0.3">
      <c r="A344">
        <v>3</v>
      </c>
      <c r="I344" t="s">
        <v>23</v>
      </c>
      <c r="J344"/>
      <c r="K344">
        <v>0</v>
      </c>
      <c r="L344">
        <v>0</v>
      </c>
      <c r="M344">
        <v>8.0500000000000007</v>
      </c>
      <c r="N344">
        <v>0</v>
      </c>
    </row>
    <row r="345" spans="1:14" x14ac:dyDescent="0.3">
      <c r="A345"/>
      <c r="B345"/>
      <c r="C345"/>
      <c r="D345"/>
      <c r="E345"/>
      <c r="F345"/>
    </row>
    <row r="346" spans="1:14" x14ac:dyDescent="0.3">
      <c r="A346"/>
      <c r="B346"/>
      <c r="C346"/>
      <c r="D346"/>
      <c r="E346"/>
      <c r="F346"/>
    </row>
    <row r="347" spans="1:14" x14ac:dyDescent="0.3">
      <c r="A347">
        <v>3</v>
      </c>
      <c r="B347" t="s">
        <v>23</v>
      </c>
      <c r="C347"/>
      <c r="D347">
        <v>0</v>
      </c>
      <c r="E347">
        <v>0</v>
      </c>
      <c r="F347">
        <v>8.0500000000000007</v>
      </c>
      <c r="G347">
        <v>0</v>
      </c>
      <c r="I347"/>
      <c r="J347"/>
      <c r="K347"/>
    </row>
    <row r="348" spans="1:14" x14ac:dyDescent="0.3">
      <c r="A348">
        <v>3</v>
      </c>
      <c r="B348" t="s">
        <v>23</v>
      </c>
      <c r="C348"/>
      <c r="D348">
        <v>1</v>
      </c>
      <c r="E348">
        <v>1</v>
      </c>
      <c r="F348">
        <v>22.3583</v>
      </c>
      <c r="G348">
        <v>1</v>
      </c>
      <c r="I348"/>
      <c r="J348"/>
      <c r="K348"/>
    </row>
    <row r="349" spans="1:14" x14ac:dyDescent="0.3">
      <c r="A349"/>
      <c r="B349"/>
      <c r="C349"/>
      <c r="D349"/>
      <c r="E349"/>
      <c r="F349"/>
    </row>
    <row r="350" spans="1:14" x14ac:dyDescent="0.3">
      <c r="A350"/>
      <c r="B350"/>
      <c r="C350"/>
      <c r="D350"/>
      <c r="E350"/>
      <c r="F350"/>
    </row>
    <row r="351" spans="1:14" x14ac:dyDescent="0.3">
      <c r="A351"/>
      <c r="B351"/>
      <c r="C351"/>
      <c r="D351"/>
      <c r="E351"/>
      <c r="F351"/>
    </row>
    <row r="352" spans="1:14" x14ac:dyDescent="0.3">
      <c r="A352"/>
      <c r="B352"/>
      <c r="C352"/>
      <c r="D352"/>
      <c r="E352"/>
      <c r="F352"/>
    </row>
    <row r="353" spans="1:6" x14ac:dyDescent="0.3">
      <c r="A353"/>
      <c r="B353"/>
      <c r="C353"/>
      <c r="D353"/>
      <c r="E353"/>
      <c r="F353"/>
    </row>
    <row r="354" spans="1:6" x14ac:dyDescent="0.3">
      <c r="A354"/>
      <c r="B354"/>
      <c r="C354"/>
      <c r="D354"/>
      <c r="E354"/>
      <c r="F354"/>
    </row>
    <row r="355" spans="1:6" x14ac:dyDescent="0.3">
      <c r="A355"/>
      <c r="B355"/>
      <c r="C355"/>
      <c r="D355"/>
      <c r="E355"/>
      <c r="F355"/>
    </row>
    <row r="356" spans="1:6" x14ac:dyDescent="0.3">
      <c r="A356"/>
      <c r="B356"/>
      <c r="C356"/>
      <c r="D356"/>
      <c r="E356"/>
      <c r="F356"/>
    </row>
    <row r="357" spans="1:6" x14ac:dyDescent="0.3">
      <c r="A357"/>
      <c r="B357"/>
      <c r="C357"/>
      <c r="D357"/>
      <c r="E357"/>
      <c r="F357"/>
    </row>
    <row r="358" spans="1:6" x14ac:dyDescent="0.3">
      <c r="A358"/>
      <c r="B358"/>
      <c r="C358"/>
      <c r="D358"/>
      <c r="E358"/>
      <c r="F358"/>
    </row>
    <row r="359" spans="1:6" x14ac:dyDescent="0.3">
      <c r="A359"/>
      <c r="B359"/>
      <c r="C359"/>
      <c r="D359"/>
      <c r="E359"/>
      <c r="F359"/>
    </row>
    <row r="360" spans="1:6" x14ac:dyDescent="0.3">
      <c r="A360"/>
      <c r="B360"/>
      <c r="C360"/>
      <c r="D360"/>
      <c r="E360"/>
      <c r="F360"/>
    </row>
    <row r="361" spans="1:6" x14ac:dyDescent="0.3">
      <c r="A361"/>
      <c r="B361"/>
      <c r="C361"/>
      <c r="D361"/>
      <c r="E361"/>
      <c r="F361"/>
    </row>
    <row r="362" spans="1:6" x14ac:dyDescent="0.3">
      <c r="A362"/>
      <c r="B362"/>
      <c r="C362"/>
      <c r="D362"/>
      <c r="E362"/>
      <c r="F362"/>
    </row>
    <row r="363" spans="1:6" x14ac:dyDescent="0.3">
      <c r="A363"/>
      <c r="B363"/>
      <c r="C363"/>
      <c r="D363"/>
      <c r="E363"/>
      <c r="F363"/>
    </row>
    <row r="364" spans="1:6" x14ac:dyDescent="0.3">
      <c r="A364"/>
      <c r="B364"/>
      <c r="C364"/>
      <c r="D364"/>
      <c r="E364"/>
      <c r="F364"/>
    </row>
    <row r="365" spans="1:6" x14ac:dyDescent="0.3">
      <c r="A365"/>
      <c r="B365"/>
      <c r="C365"/>
      <c r="D365"/>
      <c r="E365"/>
      <c r="F365"/>
    </row>
    <row r="366" spans="1:6" x14ac:dyDescent="0.3">
      <c r="A366"/>
      <c r="B366"/>
      <c r="C366"/>
      <c r="D366"/>
      <c r="E366"/>
      <c r="F366"/>
    </row>
    <row r="367" spans="1:6" x14ac:dyDescent="0.3">
      <c r="A367"/>
      <c r="B367"/>
      <c r="C367"/>
      <c r="D367"/>
      <c r="E367"/>
      <c r="F367"/>
    </row>
    <row r="368" spans="1:6" x14ac:dyDescent="0.3">
      <c r="A368"/>
      <c r="B368"/>
      <c r="C368"/>
      <c r="D368"/>
      <c r="E368"/>
      <c r="F368"/>
    </row>
    <row r="369" spans="1:6" x14ac:dyDescent="0.3">
      <c r="A369"/>
      <c r="B369"/>
      <c r="C369"/>
      <c r="D369"/>
      <c r="E369"/>
      <c r="F369"/>
    </row>
    <row r="370" spans="1:6" x14ac:dyDescent="0.3">
      <c r="A370"/>
      <c r="B370"/>
      <c r="C370"/>
      <c r="D370"/>
      <c r="E370"/>
      <c r="F370"/>
    </row>
    <row r="371" spans="1:6" x14ac:dyDescent="0.3">
      <c r="A371"/>
      <c r="B371"/>
      <c r="C371"/>
      <c r="D371"/>
      <c r="E371"/>
      <c r="F371"/>
    </row>
    <row r="372" spans="1:6" x14ac:dyDescent="0.3">
      <c r="A372"/>
      <c r="B372"/>
      <c r="C372"/>
      <c r="D372"/>
      <c r="E372"/>
      <c r="F372"/>
    </row>
    <row r="373" spans="1:6" x14ac:dyDescent="0.3">
      <c r="A373"/>
      <c r="B373"/>
      <c r="C373"/>
      <c r="D373"/>
      <c r="E373"/>
      <c r="F373"/>
    </row>
    <row r="374" spans="1:6" x14ac:dyDescent="0.3">
      <c r="A374"/>
      <c r="B374"/>
      <c r="C374"/>
      <c r="D374"/>
      <c r="E374"/>
      <c r="F374"/>
    </row>
    <row r="375" spans="1:6" x14ac:dyDescent="0.3">
      <c r="A375"/>
      <c r="B375"/>
      <c r="C375"/>
      <c r="D375"/>
      <c r="E375"/>
      <c r="F375"/>
    </row>
    <row r="376" spans="1:6" x14ac:dyDescent="0.3">
      <c r="A376"/>
      <c r="B376"/>
      <c r="C376"/>
      <c r="D376"/>
      <c r="E376"/>
      <c r="F376"/>
    </row>
    <row r="377" spans="1:6" x14ac:dyDescent="0.3">
      <c r="A377"/>
      <c r="B377"/>
      <c r="C377"/>
      <c r="D377"/>
      <c r="E377"/>
      <c r="F377"/>
    </row>
    <row r="378" spans="1:6" x14ac:dyDescent="0.3">
      <c r="A378"/>
      <c r="B378"/>
      <c r="C378"/>
      <c r="D378"/>
      <c r="E378"/>
      <c r="F378"/>
    </row>
    <row r="379" spans="1:6" x14ac:dyDescent="0.3">
      <c r="A379"/>
      <c r="B379"/>
      <c r="C379"/>
      <c r="D379"/>
      <c r="E379"/>
      <c r="F379"/>
    </row>
    <row r="380" spans="1:6" x14ac:dyDescent="0.3">
      <c r="A380"/>
      <c r="B380"/>
      <c r="C380"/>
      <c r="D380"/>
      <c r="E380"/>
      <c r="F380"/>
    </row>
    <row r="381" spans="1:6" x14ac:dyDescent="0.3">
      <c r="A381"/>
      <c r="B381"/>
      <c r="C381"/>
      <c r="D381"/>
      <c r="E381"/>
      <c r="F381"/>
    </row>
    <row r="382" spans="1:6" x14ac:dyDescent="0.3">
      <c r="A382"/>
      <c r="B382"/>
      <c r="C382"/>
      <c r="D382"/>
      <c r="E382"/>
      <c r="F382"/>
    </row>
    <row r="383" spans="1:6" x14ac:dyDescent="0.3">
      <c r="A383"/>
      <c r="B383"/>
      <c r="C383"/>
      <c r="D383"/>
      <c r="E383"/>
      <c r="F383"/>
    </row>
    <row r="384" spans="1:6" x14ac:dyDescent="0.3">
      <c r="A384"/>
      <c r="B384"/>
      <c r="C384"/>
      <c r="D384"/>
      <c r="E384"/>
      <c r="F384"/>
    </row>
    <row r="385" spans="1:6" x14ac:dyDescent="0.3">
      <c r="A385"/>
      <c r="B385"/>
      <c r="C385"/>
      <c r="D385"/>
      <c r="E385"/>
      <c r="F385"/>
    </row>
    <row r="386" spans="1:6" x14ac:dyDescent="0.3">
      <c r="A386"/>
      <c r="B386"/>
      <c r="C386"/>
      <c r="D386"/>
      <c r="E386"/>
      <c r="F386"/>
    </row>
    <row r="387" spans="1:6" x14ac:dyDescent="0.3">
      <c r="A387"/>
      <c r="B387"/>
      <c r="C387"/>
      <c r="D387"/>
      <c r="E387"/>
      <c r="F387"/>
    </row>
    <row r="388" spans="1:6" x14ac:dyDescent="0.3">
      <c r="A388"/>
      <c r="B388"/>
      <c r="C388"/>
      <c r="D388"/>
      <c r="E388"/>
      <c r="F388"/>
    </row>
    <row r="389" spans="1:6" x14ac:dyDescent="0.3">
      <c r="A389"/>
      <c r="B389"/>
      <c r="C389"/>
      <c r="D389"/>
      <c r="E389"/>
      <c r="F389"/>
    </row>
    <row r="390" spans="1:6" x14ac:dyDescent="0.3">
      <c r="A390"/>
      <c r="B390"/>
      <c r="C390"/>
      <c r="D390"/>
      <c r="E390"/>
      <c r="F390"/>
    </row>
    <row r="391" spans="1:6" x14ac:dyDescent="0.3">
      <c r="A391"/>
      <c r="B391"/>
      <c r="C391"/>
      <c r="D391"/>
      <c r="E391"/>
      <c r="F391"/>
    </row>
    <row r="392" spans="1:6" x14ac:dyDescent="0.3">
      <c r="A392"/>
      <c r="B392"/>
      <c r="C392"/>
      <c r="D392"/>
      <c r="E392"/>
      <c r="F392"/>
    </row>
    <row r="393" spans="1:6" x14ac:dyDescent="0.3">
      <c r="A393"/>
      <c r="B393"/>
      <c r="C393"/>
      <c r="D393"/>
      <c r="E393"/>
      <c r="F393"/>
    </row>
    <row r="394" spans="1:6" x14ac:dyDescent="0.3">
      <c r="A394"/>
      <c r="B394"/>
      <c r="C394"/>
      <c r="D394"/>
      <c r="E394"/>
      <c r="F394"/>
    </row>
    <row r="395" spans="1:6" x14ac:dyDescent="0.3">
      <c r="A395"/>
      <c r="B395"/>
      <c r="C395"/>
      <c r="D395"/>
      <c r="E395"/>
      <c r="F395"/>
    </row>
    <row r="396" spans="1:6" x14ac:dyDescent="0.3">
      <c r="A396"/>
      <c r="B396"/>
      <c r="C396"/>
      <c r="D396"/>
      <c r="E396"/>
      <c r="F396"/>
    </row>
    <row r="397" spans="1:6" x14ac:dyDescent="0.3">
      <c r="A397"/>
      <c r="B397"/>
      <c r="C397"/>
      <c r="D397"/>
      <c r="E397"/>
      <c r="F397"/>
    </row>
    <row r="398" spans="1:6" x14ac:dyDescent="0.3">
      <c r="A398"/>
      <c r="B398"/>
      <c r="C398"/>
      <c r="D398"/>
      <c r="E398"/>
      <c r="F398"/>
    </row>
    <row r="399" spans="1:6" x14ac:dyDescent="0.3">
      <c r="A399"/>
      <c r="B399"/>
      <c r="C399"/>
      <c r="D399"/>
      <c r="E399"/>
      <c r="F399"/>
    </row>
    <row r="400" spans="1:6" x14ac:dyDescent="0.3">
      <c r="A400"/>
      <c r="B400"/>
      <c r="C400"/>
      <c r="D400"/>
      <c r="E400"/>
      <c r="F400"/>
    </row>
    <row r="401" spans="1:6" x14ac:dyDescent="0.3">
      <c r="A401"/>
      <c r="B401"/>
      <c r="C401"/>
      <c r="D401"/>
      <c r="E401"/>
      <c r="F401"/>
    </row>
    <row r="402" spans="1:6" x14ac:dyDescent="0.3">
      <c r="A402"/>
      <c r="B402"/>
      <c r="C402"/>
      <c r="D402"/>
      <c r="E402"/>
      <c r="F402"/>
    </row>
    <row r="403" spans="1:6" x14ac:dyDescent="0.3">
      <c r="A403"/>
      <c r="B403"/>
      <c r="C403"/>
      <c r="D403"/>
      <c r="E403"/>
      <c r="F403"/>
    </row>
    <row r="404" spans="1:6" x14ac:dyDescent="0.3">
      <c r="A404"/>
      <c r="B404"/>
      <c r="C404"/>
      <c r="D404"/>
      <c r="E404"/>
      <c r="F404"/>
    </row>
    <row r="405" spans="1:6" x14ac:dyDescent="0.3">
      <c r="A405"/>
      <c r="B405"/>
      <c r="C405"/>
      <c r="D405"/>
      <c r="E405"/>
      <c r="F405"/>
    </row>
    <row r="406" spans="1:6" x14ac:dyDescent="0.3">
      <c r="A406"/>
      <c r="B406"/>
      <c r="C406"/>
      <c r="D406"/>
      <c r="E406"/>
      <c r="F406"/>
    </row>
    <row r="407" spans="1:6" x14ac:dyDescent="0.3">
      <c r="A407"/>
      <c r="B407"/>
      <c r="C407"/>
      <c r="D407"/>
      <c r="E407"/>
      <c r="F407"/>
    </row>
    <row r="408" spans="1:6" x14ac:dyDescent="0.3">
      <c r="A408"/>
      <c r="B408"/>
      <c r="C408"/>
      <c r="D408"/>
      <c r="E408"/>
      <c r="F408"/>
    </row>
    <row r="409" spans="1:6" x14ac:dyDescent="0.3">
      <c r="A409"/>
      <c r="B409"/>
      <c r="C409"/>
      <c r="D409"/>
      <c r="E409"/>
      <c r="F409"/>
    </row>
    <row r="410" spans="1:6" x14ac:dyDescent="0.3">
      <c r="A410"/>
      <c r="B410"/>
      <c r="C410"/>
      <c r="D410"/>
      <c r="E410"/>
      <c r="F410"/>
    </row>
    <row r="411" spans="1:6" x14ac:dyDescent="0.3">
      <c r="A411"/>
      <c r="B411"/>
      <c r="C411"/>
      <c r="D411"/>
      <c r="E411"/>
      <c r="F411"/>
    </row>
    <row r="412" spans="1:6" x14ac:dyDescent="0.3">
      <c r="A412"/>
      <c r="B412"/>
      <c r="C412"/>
      <c r="D412"/>
      <c r="E412"/>
      <c r="F412"/>
    </row>
    <row r="413" spans="1:6" x14ac:dyDescent="0.3">
      <c r="A413"/>
      <c r="B413"/>
      <c r="C413"/>
      <c r="D413"/>
      <c r="E413"/>
      <c r="F413"/>
    </row>
    <row r="414" spans="1:6" x14ac:dyDescent="0.3">
      <c r="A414"/>
      <c r="B414"/>
      <c r="C414"/>
      <c r="D414"/>
      <c r="E414"/>
      <c r="F414"/>
    </row>
    <row r="415" spans="1:6" x14ac:dyDescent="0.3">
      <c r="A415"/>
      <c r="B415"/>
      <c r="C415"/>
      <c r="D415"/>
      <c r="E415"/>
      <c r="F415"/>
    </row>
    <row r="416" spans="1:6" x14ac:dyDescent="0.3">
      <c r="A416"/>
      <c r="B416"/>
      <c r="C416"/>
      <c r="D416"/>
      <c r="E416"/>
      <c r="F416"/>
    </row>
    <row r="417" spans="1:6" x14ac:dyDescent="0.3">
      <c r="A417"/>
      <c r="B417"/>
      <c r="C417"/>
      <c r="D417"/>
      <c r="E417"/>
      <c r="F417"/>
    </row>
    <row r="418" spans="1:6" x14ac:dyDescent="0.3">
      <c r="A418"/>
      <c r="B418"/>
      <c r="C418"/>
      <c r="D418"/>
      <c r="E418"/>
      <c r="F418"/>
    </row>
    <row r="419" spans="1:6" x14ac:dyDescent="0.3">
      <c r="A419"/>
      <c r="B419"/>
      <c r="C419"/>
      <c r="D419"/>
      <c r="E419"/>
      <c r="F419"/>
    </row>
    <row r="420" spans="1:6" x14ac:dyDescent="0.3">
      <c r="A420"/>
      <c r="B420"/>
      <c r="C420"/>
      <c r="D420"/>
      <c r="E420"/>
      <c r="F420"/>
    </row>
    <row r="421" spans="1:6" x14ac:dyDescent="0.3">
      <c r="A421"/>
      <c r="B421"/>
      <c r="C421"/>
      <c r="D421"/>
      <c r="E421"/>
      <c r="F421"/>
    </row>
    <row r="422" spans="1:6" x14ac:dyDescent="0.3">
      <c r="A422"/>
      <c r="B422"/>
      <c r="C422"/>
      <c r="D422"/>
      <c r="E422"/>
      <c r="F422"/>
    </row>
    <row r="423" spans="1:6" x14ac:dyDescent="0.3">
      <c r="A423"/>
      <c r="B423"/>
      <c r="C423"/>
      <c r="D423"/>
      <c r="E423"/>
      <c r="F423"/>
    </row>
    <row r="424" spans="1:6" x14ac:dyDescent="0.3">
      <c r="A424"/>
      <c r="B424"/>
      <c r="C424"/>
      <c r="D424"/>
      <c r="E424"/>
      <c r="F424"/>
    </row>
    <row r="425" spans="1:6" x14ac:dyDescent="0.3">
      <c r="A425"/>
      <c r="B425"/>
      <c r="C425"/>
      <c r="D425"/>
      <c r="E425"/>
      <c r="F425"/>
    </row>
    <row r="426" spans="1:6" x14ac:dyDescent="0.3">
      <c r="A426"/>
      <c r="B426"/>
      <c r="C426"/>
      <c r="D426"/>
      <c r="E426"/>
      <c r="F426"/>
    </row>
    <row r="427" spans="1:6" x14ac:dyDescent="0.3">
      <c r="A427"/>
      <c r="B427"/>
      <c r="C427"/>
      <c r="D427"/>
      <c r="E427"/>
      <c r="F427"/>
    </row>
    <row r="428" spans="1:6" x14ac:dyDescent="0.3">
      <c r="A428"/>
      <c r="B428"/>
      <c r="C428"/>
      <c r="D428"/>
      <c r="E428"/>
      <c r="F428"/>
    </row>
    <row r="429" spans="1:6" x14ac:dyDescent="0.3">
      <c r="A429"/>
      <c r="B429"/>
      <c r="C429"/>
      <c r="D429"/>
      <c r="E429"/>
      <c r="F429"/>
    </row>
    <row r="430" spans="1:6" x14ac:dyDescent="0.3">
      <c r="A430"/>
      <c r="B430"/>
      <c r="C430"/>
      <c r="D430"/>
      <c r="E430"/>
      <c r="F430"/>
    </row>
    <row r="431" spans="1:6" x14ac:dyDescent="0.3">
      <c r="A431"/>
      <c r="B431"/>
      <c r="C431"/>
      <c r="D431"/>
      <c r="E431"/>
      <c r="F431"/>
    </row>
    <row r="432" spans="1:6" x14ac:dyDescent="0.3">
      <c r="A432"/>
      <c r="B432"/>
      <c r="C432"/>
      <c r="D432"/>
      <c r="E432"/>
      <c r="F432"/>
    </row>
    <row r="433" spans="1:6" x14ac:dyDescent="0.3">
      <c r="A433"/>
      <c r="B433"/>
      <c r="C433"/>
      <c r="D433"/>
      <c r="E433"/>
      <c r="F433"/>
    </row>
    <row r="434" spans="1:6" x14ac:dyDescent="0.3">
      <c r="A434"/>
      <c r="B434"/>
      <c r="C434"/>
      <c r="D434"/>
      <c r="E434"/>
      <c r="F434"/>
    </row>
    <row r="435" spans="1:6" x14ac:dyDescent="0.3">
      <c r="A435"/>
      <c r="B435"/>
      <c r="C435"/>
      <c r="D435"/>
      <c r="E435"/>
      <c r="F435"/>
    </row>
    <row r="436" spans="1:6" x14ac:dyDescent="0.3">
      <c r="A436"/>
      <c r="B436"/>
      <c r="C436"/>
      <c r="D436"/>
      <c r="E436"/>
      <c r="F436"/>
    </row>
    <row r="437" spans="1:6" x14ac:dyDescent="0.3">
      <c r="A437"/>
      <c r="B437"/>
      <c r="C437"/>
      <c r="D437"/>
      <c r="E437"/>
      <c r="F437"/>
    </row>
    <row r="438" spans="1:6" x14ac:dyDescent="0.3">
      <c r="A438"/>
      <c r="B438"/>
      <c r="C438"/>
      <c r="D438"/>
      <c r="E438"/>
      <c r="F438"/>
    </row>
    <row r="439" spans="1:6" x14ac:dyDescent="0.3">
      <c r="A439"/>
      <c r="B439"/>
      <c r="C439"/>
      <c r="D439"/>
      <c r="E439"/>
      <c r="F439"/>
    </row>
    <row r="440" spans="1:6" x14ac:dyDescent="0.3">
      <c r="A440"/>
      <c r="B440"/>
      <c r="C440"/>
      <c r="D440"/>
      <c r="E440"/>
      <c r="F440"/>
    </row>
    <row r="441" spans="1:6" x14ac:dyDescent="0.3">
      <c r="A441"/>
      <c r="B441"/>
      <c r="C441"/>
      <c r="D441"/>
      <c r="E441"/>
      <c r="F441"/>
    </row>
    <row r="442" spans="1:6" x14ac:dyDescent="0.3">
      <c r="A442"/>
      <c r="B442"/>
      <c r="C442"/>
      <c r="D442"/>
      <c r="E442"/>
      <c r="F442"/>
    </row>
    <row r="443" spans="1:6" x14ac:dyDescent="0.3">
      <c r="A443"/>
      <c r="B443"/>
      <c r="C443"/>
      <c r="D443"/>
      <c r="E443"/>
      <c r="F443"/>
    </row>
    <row r="444" spans="1:6" x14ac:dyDescent="0.3">
      <c r="A444"/>
      <c r="B444"/>
      <c r="C444"/>
      <c r="D444"/>
      <c r="E444"/>
      <c r="F444"/>
    </row>
    <row r="445" spans="1:6" x14ac:dyDescent="0.3">
      <c r="A445"/>
      <c r="B445"/>
      <c r="C445"/>
      <c r="D445"/>
      <c r="E445"/>
      <c r="F445"/>
    </row>
    <row r="446" spans="1:6" x14ac:dyDescent="0.3">
      <c r="A446"/>
      <c r="B446"/>
      <c r="C446"/>
      <c r="D446"/>
      <c r="E446"/>
      <c r="F446"/>
    </row>
    <row r="447" spans="1:6" x14ac:dyDescent="0.3">
      <c r="A447"/>
      <c r="B447"/>
      <c r="C447"/>
      <c r="D447"/>
      <c r="E447"/>
      <c r="F447"/>
    </row>
    <row r="448" spans="1:6" x14ac:dyDescent="0.3">
      <c r="A448"/>
      <c r="B448"/>
      <c r="C448"/>
      <c r="D448"/>
      <c r="E448"/>
      <c r="F448"/>
    </row>
    <row r="449" spans="1:6" x14ac:dyDescent="0.3">
      <c r="A449"/>
      <c r="B449"/>
      <c r="C449"/>
      <c r="D449"/>
      <c r="E449"/>
      <c r="F449"/>
    </row>
    <row r="450" spans="1:6" x14ac:dyDescent="0.3">
      <c r="A450"/>
      <c r="B450"/>
      <c r="C450"/>
      <c r="D450"/>
      <c r="E450"/>
      <c r="F450"/>
    </row>
    <row r="451" spans="1:6" x14ac:dyDescent="0.3">
      <c r="A451"/>
      <c r="B451"/>
      <c r="C451"/>
      <c r="D451"/>
      <c r="E451"/>
      <c r="F451"/>
    </row>
    <row r="452" spans="1:6" x14ac:dyDescent="0.3">
      <c r="A452"/>
      <c r="B452"/>
      <c r="C452"/>
      <c r="D452"/>
      <c r="E452"/>
      <c r="F452"/>
    </row>
    <row r="453" spans="1:6" x14ac:dyDescent="0.3">
      <c r="A453"/>
      <c r="B453"/>
      <c r="C453"/>
      <c r="D453"/>
      <c r="E453"/>
      <c r="F453"/>
    </row>
    <row r="454" spans="1:6" x14ac:dyDescent="0.3">
      <c r="A454"/>
      <c r="B454"/>
      <c r="C454"/>
      <c r="D454"/>
      <c r="E454"/>
      <c r="F454"/>
    </row>
    <row r="455" spans="1:6" x14ac:dyDescent="0.3">
      <c r="A455"/>
      <c r="B455"/>
      <c r="C455"/>
      <c r="D455"/>
      <c r="E455"/>
      <c r="F455"/>
    </row>
    <row r="456" spans="1:6" x14ac:dyDescent="0.3">
      <c r="A456"/>
      <c r="B456"/>
      <c r="C456"/>
      <c r="D456"/>
      <c r="E456"/>
      <c r="F456"/>
    </row>
    <row r="457" spans="1:6" x14ac:dyDescent="0.3">
      <c r="A457"/>
      <c r="B457"/>
      <c r="C457"/>
      <c r="D457"/>
      <c r="E457"/>
      <c r="F457"/>
    </row>
    <row r="458" spans="1:6" x14ac:dyDescent="0.3">
      <c r="A458"/>
      <c r="B458"/>
      <c r="C458"/>
      <c r="D458"/>
      <c r="E458"/>
      <c r="F458"/>
    </row>
    <row r="459" spans="1:6" x14ac:dyDescent="0.3">
      <c r="A459"/>
      <c r="B459"/>
      <c r="C459"/>
      <c r="D459"/>
      <c r="E459"/>
      <c r="F459"/>
    </row>
    <row r="460" spans="1:6" x14ac:dyDescent="0.3">
      <c r="A460"/>
      <c r="B460"/>
      <c r="C460"/>
      <c r="D460"/>
      <c r="E460"/>
      <c r="F460"/>
    </row>
    <row r="461" spans="1:6" x14ac:dyDescent="0.3">
      <c r="A461"/>
      <c r="B461"/>
      <c r="C461"/>
      <c r="D461"/>
      <c r="E461"/>
      <c r="F461"/>
    </row>
    <row r="462" spans="1:6" x14ac:dyDescent="0.3">
      <c r="A462"/>
      <c r="B462"/>
      <c r="C462"/>
      <c r="D462"/>
      <c r="E462"/>
      <c r="F462"/>
    </row>
    <row r="463" spans="1:6" x14ac:dyDescent="0.3">
      <c r="A463"/>
      <c r="B463"/>
      <c r="C463"/>
      <c r="D463"/>
      <c r="E463"/>
      <c r="F463"/>
    </row>
    <row r="464" spans="1:6" x14ac:dyDescent="0.3">
      <c r="A464"/>
      <c r="B464"/>
      <c r="C464"/>
      <c r="D464"/>
      <c r="E464"/>
      <c r="F464"/>
    </row>
    <row r="465" spans="1:6" x14ac:dyDescent="0.3">
      <c r="A465"/>
      <c r="B465"/>
      <c r="C465"/>
      <c r="D465"/>
      <c r="E465"/>
      <c r="F465"/>
    </row>
    <row r="466" spans="1:6" x14ac:dyDescent="0.3">
      <c r="A466"/>
      <c r="B466"/>
      <c r="C466"/>
      <c r="D466"/>
      <c r="E466"/>
      <c r="F466"/>
    </row>
    <row r="467" spans="1:6" x14ac:dyDescent="0.3">
      <c r="A467"/>
      <c r="B467"/>
      <c r="C467"/>
      <c r="D467"/>
      <c r="E467"/>
      <c r="F467"/>
    </row>
    <row r="468" spans="1:6" x14ac:dyDescent="0.3">
      <c r="A468"/>
      <c r="B468"/>
      <c r="C468"/>
      <c r="D468"/>
      <c r="E468"/>
      <c r="F468"/>
    </row>
    <row r="469" spans="1:6" x14ac:dyDescent="0.3">
      <c r="A469"/>
      <c r="B469"/>
      <c r="C469"/>
      <c r="D469"/>
      <c r="E469"/>
      <c r="F469"/>
    </row>
    <row r="470" spans="1:6" x14ac:dyDescent="0.3">
      <c r="A470"/>
      <c r="B470"/>
      <c r="C470"/>
      <c r="D470"/>
      <c r="E470"/>
      <c r="F470"/>
    </row>
    <row r="471" spans="1:6" x14ac:dyDescent="0.3">
      <c r="A471"/>
      <c r="B471"/>
      <c r="C471"/>
      <c r="D471"/>
      <c r="E471"/>
      <c r="F471"/>
    </row>
    <row r="472" spans="1:6" x14ac:dyDescent="0.3">
      <c r="A472"/>
      <c r="B472"/>
      <c r="C472"/>
      <c r="D472"/>
      <c r="E472"/>
      <c r="F472"/>
    </row>
    <row r="473" spans="1:6" x14ac:dyDescent="0.3">
      <c r="A473"/>
      <c r="B473"/>
      <c r="C473"/>
      <c r="D473"/>
      <c r="E473"/>
      <c r="F473"/>
    </row>
    <row r="474" spans="1:6" x14ac:dyDescent="0.3">
      <c r="A474"/>
      <c r="B474"/>
      <c r="C474"/>
      <c r="D474"/>
      <c r="E474"/>
      <c r="F474"/>
    </row>
    <row r="475" spans="1:6" x14ac:dyDescent="0.3">
      <c r="A475"/>
      <c r="B475"/>
      <c r="C475"/>
      <c r="D475"/>
      <c r="E475"/>
      <c r="F475"/>
    </row>
    <row r="476" spans="1:6" x14ac:dyDescent="0.3">
      <c r="A476"/>
      <c r="B476"/>
      <c r="C476"/>
      <c r="D476"/>
      <c r="E476"/>
      <c r="F476"/>
    </row>
    <row r="477" spans="1:6" x14ac:dyDescent="0.3">
      <c r="A477"/>
      <c r="B477"/>
      <c r="C477"/>
      <c r="D477"/>
      <c r="E477"/>
      <c r="F477"/>
    </row>
    <row r="478" spans="1:6" x14ac:dyDescent="0.3">
      <c r="A478"/>
      <c r="B478"/>
      <c r="C478"/>
      <c r="D478"/>
      <c r="E478"/>
      <c r="F478"/>
    </row>
    <row r="479" spans="1:6" x14ac:dyDescent="0.3">
      <c r="A479"/>
      <c r="B479"/>
      <c r="C479"/>
      <c r="D479"/>
      <c r="E479"/>
      <c r="F479"/>
    </row>
    <row r="480" spans="1:6" x14ac:dyDescent="0.3">
      <c r="A480"/>
      <c r="B480"/>
      <c r="C480"/>
      <c r="D480"/>
      <c r="E480"/>
      <c r="F480"/>
    </row>
    <row r="481" spans="1:6" x14ac:dyDescent="0.3">
      <c r="A481"/>
      <c r="B481"/>
      <c r="C481"/>
      <c r="D481"/>
      <c r="E481"/>
      <c r="F481"/>
    </row>
    <row r="482" spans="1:6" x14ac:dyDescent="0.3">
      <c r="A482"/>
      <c r="B482"/>
      <c r="C482"/>
      <c r="D482"/>
      <c r="E482"/>
      <c r="F482"/>
    </row>
    <row r="483" spans="1:6" x14ac:dyDescent="0.3">
      <c r="A483"/>
      <c r="B483"/>
      <c r="C483"/>
      <c r="D483"/>
      <c r="E483"/>
      <c r="F483"/>
    </row>
    <row r="484" spans="1:6" x14ac:dyDescent="0.3">
      <c r="A484"/>
      <c r="B484"/>
      <c r="C484"/>
      <c r="D484"/>
      <c r="E484"/>
      <c r="F484"/>
    </row>
    <row r="485" spans="1:6" x14ac:dyDescent="0.3">
      <c r="A485"/>
      <c r="B485"/>
      <c r="C485"/>
      <c r="D485"/>
      <c r="E485"/>
      <c r="F485"/>
    </row>
    <row r="486" spans="1:6" x14ac:dyDescent="0.3">
      <c r="A486"/>
      <c r="B486"/>
      <c r="C486"/>
      <c r="D486"/>
      <c r="E486"/>
      <c r="F486"/>
    </row>
    <row r="487" spans="1:6" x14ac:dyDescent="0.3">
      <c r="A487"/>
      <c r="B487"/>
      <c r="C487"/>
      <c r="D487"/>
      <c r="E487"/>
      <c r="F487"/>
    </row>
    <row r="488" spans="1:6" x14ac:dyDescent="0.3">
      <c r="A488"/>
      <c r="B488"/>
      <c r="C488"/>
      <c r="D488"/>
      <c r="E488"/>
      <c r="F488"/>
    </row>
    <row r="489" spans="1:6" x14ac:dyDescent="0.3">
      <c r="A489"/>
      <c r="B489"/>
      <c r="C489"/>
      <c r="D489"/>
      <c r="E489"/>
      <c r="F489"/>
    </row>
    <row r="490" spans="1:6" x14ac:dyDescent="0.3">
      <c r="A490"/>
      <c r="B490"/>
      <c r="C490"/>
      <c r="D490"/>
      <c r="E490"/>
      <c r="F490"/>
    </row>
    <row r="491" spans="1:6" x14ac:dyDescent="0.3">
      <c r="A491"/>
      <c r="B491"/>
      <c r="C491"/>
      <c r="D491"/>
      <c r="E491"/>
      <c r="F491"/>
    </row>
    <row r="492" spans="1:6" x14ac:dyDescent="0.3">
      <c r="A492"/>
      <c r="B492"/>
      <c r="C492"/>
      <c r="D492"/>
      <c r="E492"/>
      <c r="F492"/>
    </row>
    <row r="493" spans="1:6" x14ac:dyDescent="0.3">
      <c r="A493"/>
      <c r="B493"/>
      <c r="C493"/>
      <c r="D493"/>
      <c r="E493"/>
      <c r="F493"/>
    </row>
    <row r="494" spans="1:6" x14ac:dyDescent="0.3">
      <c r="A494"/>
      <c r="B494"/>
      <c r="C494"/>
      <c r="D494"/>
      <c r="E494"/>
      <c r="F494"/>
    </row>
    <row r="495" spans="1:6" x14ac:dyDescent="0.3">
      <c r="A495"/>
      <c r="B495"/>
      <c r="C495"/>
      <c r="D495"/>
      <c r="E495"/>
      <c r="F495"/>
    </row>
    <row r="496" spans="1:6" x14ac:dyDescent="0.3">
      <c r="A496"/>
      <c r="B496"/>
      <c r="C496"/>
      <c r="D496"/>
      <c r="E496"/>
      <c r="F496"/>
    </row>
    <row r="497" spans="1:6" x14ac:dyDescent="0.3">
      <c r="A497"/>
      <c r="B497"/>
      <c r="C497"/>
      <c r="D497"/>
      <c r="E497"/>
      <c r="F497"/>
    </row>
    <row r="498" spans="1:6" x14ac:dyDescent="0.3">
      <c r="A498"/>
      <c r="B498"/>
      <c r="C498"/>
      <c r="D498"/>
      <c r="E498"/>
      <c r="F498"/>
    </row>
    <row r="499" spans="1:6" x14ac:dyDescent="0.3">
      <c r="A499"/>
      <c r="B499"/>
      <c r="C499"/>
      <c r="D499"/>
      <c r="E499"/>
      <c r="F499"/>
    </row>
    <row r="500" spans="1:6" x14ac:dyDescent="0.3">
      <c r="A500"/>
      <c r="B500"/>
      <c r="C500"/>
      <c r="D500"/>
      <c r="E500"/>
      <c r="F500"/>
    </row>
    <row r="501" spans="1:6" x14ac:dyDescent="0.3">
      <c r="A501"/>
      <c r="B501"/>
      <c r="C501"/>
      <c r="D501"/>
      <c r="E501"/>
      <c r="F501"/>
    </row>
    <row r="502" spans="1:6" x14ac:dyDescent="0.3">
      <c r="A502"/>
      <c r="B502"/>
      <c r="C502"/>
      <c r="D502"/>
      <c r="E502"/>
      <c r="F502"/>
    </row>
    <row r="503" spans="1:6" x14ac:dyDescent="0.3">
      <c r="A503"/>
      <c r="B503"/>
      <c r="C503"/>
      <c r="D503"/>
      <c r="E503"/>
      <c r="F503"/>
    </row>
    <row r="504" spans="1:6" x14ac:dyDescent="0.3">
      <c r="A504"/>
      <c r="B504"/>
      <c r="C504"/>
      <c r="D504"/>
      <c r="E504"/>
      <c r="F504"/>
    </row>
    <row r="505" spans="1:6" x14ac:dyDescent="0.3">
      <c r="A505"/>
      <c r="B505"/>
      <c r="C505"/>
      <c r="D505"/>
      <c r="E505"/>
      <c r="F505"/>
    </row>
    <row r="506" spans="1:6" x14ac:dyDescent="0.3">
      <c r="A506"/>
      <c r="B506"/>
      <c r="C506"/>
      <c r="D506"/>
      <c r="E506"/>
      <c r="F506"/>
    </row>
    <row r="507" spans="1:6" x14ac:dyDescent="0.3">
      <c r="A507"/>
      <c r="B507"/>
      <c r="C507"/>
      <c r="D507"/>
      <c r="E507"/>
      <c r="F507"/>
    </row>
    <row r="508" spans="1:6" x14ac:dyDescent="0.3">
      <c r="A508"/>
      <c r="B508"/>
      <c r="C508"/>
      <c r="D508"/>
      <c r="E508"/>
      <c r="F508"/>
    </row>
    <row r="509" spans="1:6" x14ac:dyDescent="0.3">
      <c r="A509"/>
      <c r="B509"/>
      <c r="C509"/>
      <c r="D509"/>
      <c r="E509"/>
      <c r="F509"/>
    </row>
    <row r="510" spans="1:6" x14ac:dyDescent="0.3">
      <c r="A510"/>
      <c r="B510"/>
      <c r="C510"/>
      <c r="D510"/>
      <c r="E510"/>
      <c r="F510"/>
    </row>
    <row r="511" spans="1:6" x14ac:dyDescent="0.3">
      <c r="A511"/>
      <c r="B511"/>
      <c r="C511"/>
      <c r="D511"/>
      <c r="E511"/>
      <c r="F511"/>
    </row>
    <row r="512" spans="1:6" x14ac:dyDescent="0.3">
      <c r="A512"/>
      <c r="B512"/>
      <c r="C512"/>
      <c r="D512"/>
      <c r="E512"/>
      <c r="F512"/>
    </row>
    <row r="513" spans="1:6" x14ac:dyDescent="0.3">
      <c r="A513"/>
      <c r="B513"/>
      <c r="C513"/>
      <c r="D513"/>
      <c r="E513"/>
      <c r="F513"/>
    </row>
    <row r="514" spans="1:6" x14ac:dyDescent="0.3">
      <c r="A514"/>
      <c r="B514"/>
      <c r="C514"/>
      <c r="D514"/>
      <c r="E514"/>
      <c r="F514"/>
    </row>
    <row r="515" spans="1:6" x14ac:dyDescent="0.3">
      <c r="A515"/>
      <c r="B515"/>
      <c r="C515"/>
      <c r="D515"/>
      <c r="E515"/>
      <c r="F515"/>
    </row>
    <row r="516" spans="1:6" x14ac:dyDescent="0.3">
      <c r="A516"/>
      <c r="B516"/>
      <c r="C516"/>
      <c r="D516"/>
      <c r="E516"/>
      <c r="F516"/>
    </row>
    <row r="517" spans="1:6" x14ac:dyDescent="0.3">
      <c r="A517"/>
      <c r="B517"/>
      <c r="C517"/>
      <c r="D517"/>
      <c r="E517"/>
      <c r="F517"/>
    </row>
    <row r="518" spans="1:6" x14ac:dyDescent="0.3">
      <c r="A518"/>
      <c r="B518"/>
      <c r="C518"/>
      <c r="D518"/>
      <c r="E518"/>
      <c r="F518"/>
    </row>
    <row r="519" spans="1:6" x14ac:dyDescent="0.3">
      <c r="A519"/>
      <c r="B519"/>
      <c r="C519"/>
      <c r="D519"/>
      <c r="E519"/>
      <c r="F519"/>
    </row>
    <row r="520" spans="1:6" x14ac:dyDescent="0.3">
      <c r="A520"/>
      <c r="B520"/>
      <c r="C520"/>
      <c r="D520"/>
      <c r="E520"/>
      <c r="F520"/>
    </row>
    <row r="521" spans="1:6" x14ac:dyDescent="0.3">
      <c r="A521"/>
      <c r="B521"/>
      <c r="C521"/>
      <c r="D521"/>
      <c r="E521"/>
      <c r="F521"/>
    </row>
    <row r="522" spans="1:6" x14ac:dyDescent="0.3">
      <c r="A522"/>
      <c r="B522"/>
      <c r="C522"/>
      <c r="D522"/>
      <c r="E522"/>
      <c r="F522"/>
    </row>
    <row r="523" spans="1:6" x14ac:dyDescent="0.3">
      <c r="A523"/>
      <c r="B523"/>
      <c r="C523"/>
      <c r="D523"/>
      <c r="E523"/>
      <c r="F523"/>
    </row>
    <row r="524" spans="1:6" x14ac:dyDescent="0.3">
      <c r="A524"/>
      <c r="B524"/>
      <c r="C524"/>
      <c r="D524"/>
      <c r="E524"/>
      <c r="F524"/>
    </row>
    <row r="525" spans="1:6" x14ac:dyDescent="0.3">
      <c r="A525"/>
      <c r="B525"/>
      <c r="C525"/>
      <c r="D525"/>
      <c r="E525"/>
      <c r="F525"/>
    </row>
    <row r="526" spans="1:6" x14ac:dyDescent="0.3">
      <c r="A526"/>
      <c r="B526"/>
      <c r="C526"/>
      <c r="D526"/>
      <c r="E526"/>
      <c r="F526"/>
    </row>
    <row r="527" spans="1:6" x14ac:dyDescent="0.3">
      <c r="A527"/>
      <c r="B527"/>
      <c r="C527"/>
      <c r="D527"/>
      <c r="E527"/>
      <c r="F527"/>
    </row>
    <row r="528" spans="1:6" x14ac:dyDescent="0.3">
      <c r="A528"/>
      <c r="B528"/>
      <c r="C528"/>
      <c r="D528"/>
      <c r="E528"/>
      <c r="F528"/>
    </row>
    <row r="529" spans="1:6" x14ac:dyDescent="0.3">
      <c r="A529"/>
      <c r="B529"/>
      <c r="C529"/>
      <c r="D529"/>
      <c r="E529"/>
      <c r="F529"/>
    </row>
    <row r="530" spans="1:6" x14ac:dyDescent="0.3">
      <c r="A530"/>
      <c r="B530"/>
      <c r="C530"/>
      <c r="D530"/>
      <c r="E530"/>
      <c r="F530"/>
    </row>
    <row r="531" spans="1:6" x14ac:dyDescent="0.3">
      <c r="A531"/>
      <c r="B531"/>
      <c r="C531"/>
      <c r="D531"/>
      <c r="E531"/>
      <c r="F531"/>
    </row>
    <row r="532" spans="1:6" x14ac:dyDescent="0.3">
      <c r="A532"/>
      <c r="B532"/>
      <c r="C532"/>
      <c r="D532"/>
      <c r="E532"/>
      <c r="F532"/>
    </row>
    <row r="533" spans="1:6" x14ac:dyDescent="0.3">
      <c r="A533"/>
      <c r="B533"/>
      <c r="C533"/>
      <c r="D533"/>
      <c r="E533"/>
      <c r="F533"/>
    </row>
    <row r="534" spans="1:6" x14ac:dyDescent="0.3">
      <c r="A534"/>
      <c r="B534"/>
      <c r="C534"/>
      <c r="D534"/>
      <c r="E534"/>
      <c r="F534"/>
    </row>
    <row r="535" spans="1:6" x14ac:dyDescent="0.3">
      <c r="A535"/>
      <c r="B535"/>
      <c r="C535"/>
      <c r="D535"/>
      <c r="E535"/>
      <c r="F535"/>
    </row>
    <row r="536" spans="1:6" x14ac:dyDescent="0.3">
      <c r="A536"/>
      <c r="B536"/>
      <c r="C536"/>
      <c r="D536"/>
      <c r="E536"/>
      <c r="F536"/>
    </row>
    <row r="537" spans="1:6" x14ac:dyDescent="0.3">
      <c r="A537"/>
      <c r="B537"/>
      <c r="C537"/>
      <c r="D537"/>
      <c r="E537"/>
      <c r="F537"/>
    </row>
    <row r="538" spans="1:6" x14ac:dyDescent="0.3">
      <c r="A538"/>
      <c r="B538"/>
      <c r="C538"/>
      <c r="D538"/>
      <c r="E538"/>
      <c r="F538"/>
    </row>
    <row r="539" spans="1:6" x14ac:dyDescent="0.3">
      <c r="A539"/>
      <c r="B539"/>
      <c r="C539"/>
      <c r="D539"/>
      <c r="E539"/>
      <c r="F539"/>
    </row>
    <row r="540" spans="1:6" x14ac:dyDescent="0.3">
      <c r="A540"/>
      <c r="B540"/>
      <c r="C540"/>
      <c r="D540"/>
      <c r="E540"/>
      <c r="F540"/>
    </row>
    <row r="541" spans="1:6" x14ac:dyDescent="0.3">
      <c r="A541"/>
      <c r="B541"/>
      <c r="C541"/>
      <c r="D541"/>
      <c r="E541"/>
      <c r="F541"/>
    </row>
    <row r="542" spans="1:6" x14ac:dyDescent="0.3">
      <c r="A542"/>
      <c r="B542"/>
      <c r="C542"/>
      <c r="D542"/>
      <c r="E542"/>
      <c r="F542"/>
    </row>
    <row r="543" spans="1:6" x14ac:dyDescent="0.3">
      <c r="A543"/>
      <c r="B543"/>
      <c r="C543"/>
      <c r="D543"/>
      <c r="E543"/>
      <c r="F543"/>
    </row>
    <row r="544" spans="1:6" x14ac:dyDescent="0.3">
      <c r="A544"/>
      <c r="B544"/>
      <c r="C544"/>
      <c r="D544"/>
      <c r="E544"/>
      <c r="F544"/>
    </row>
    <row r="545" spans="1:6" x14ac:dyDescent="0.3">
      <c r="A545"/>
      <c r="B545"/>
      <c r="C545"/>
      <c r="D545"/>
      <c r="E545"/>
      <c r="F545"/>
    </row>
    <row r="546" spans="1:6" x14ac:dyDescent="0.3">
      <c r="A546"/>
      <c r="B546"/>
      <c r="C546"/>
      <c r="D546"/>
      <c r="E546"/>
      <c r="F546"/>
    </row>
    <row r="547" spans="1:6" x14ac:dyDescent="0.3">
      <c r="A547"/>
      <c r="B547"/>
      <c r="C547"/>
      <c r="D547"/>
      <c r="E547"/>
      <c r="F547"/>
    </row>
    <row r="548" spans="1:6" x14ac:dyDescent="0.3">
      <c r="A548"/>
      <c r="B548"/>
      <c r="C548"/>
      <c r="D548"/>
      <c r="E548"/>
      <c r="F548"/>
    </row>
    <row r="549" spans="1:6" x14ac:dyDescent="0.3">
      <c r="A549"/>
      <c r="B549"/>
      <c r="C549"/>
      <c r="D549"/>
      <c r="E549"/>
      <c r="F549"/>
    </row>
    <row r="550" spans="1:6" x14ac:dyDescent="0.3">
      <c r="A550"/>
      <c r="B550"/>
      <c r="C550"/>
      <c r="D550"/>
      <c r="E550"/>
      <c r="F550"/>
    </row>
    <row r="551" spans="1:6" x14ac:dyDescent="0.3">
      <c r="A551"/>
      <c r="B551"/>
      <c r="C551"/>
      <c r="D551"/>
      <c r="E551"/>
      <c r="F551"/>
    </row>
    <row r="552" spans="1:6" x14ac:dyDescent="0.3">
      <c r="A552"/>
      <c r="B552"/>
      <c r="C552"/>
      <c r="D552"/>
      <c r="E552"/>
      <c r="F552"/>
    </row>
    <row r="553" spans="1:6" x14ac:dyDescent="0.3">
      <c r="A553"/>
      <c r="B553"/>
      <c r="C553"/>
      <c r="D553"/>
      <c r="E553"/>
      <c r="F553"/>
    </row>
    <row r="554" spans="1:6" x14ac:dyDescent="0.3">
      <c r="A554"/>
      <c r="B554"/>
      <c r="C554"/>
      <c r="D554"/>
      <c r="E554"/>
      <c r="F554"/>
    </row>
    <row r="555" spans="1:6" x14ac:dyDescent="0.3">
      <c r="A555"/>
      <c r="B555"/>
      <c r="C555"/>
      <c r="D555"/>
      <c r="E555"/>
      <c r="F555"/>
    </row>
    <row r="556" spans="1:6" x14ac:dyDescent="0.3">
      <c r="A556"/>
      <c r="B556"/>
      <c r="C556"/>
      <c r="D556"/>
      <c r="E556"/>
      <c r="F556"/>
    </row>
    <row r="557" spans="1:6" x14ac:dyDescent="0.3">
      <c r="A557"/>
      <c r="B557"/>
      <c r="C557"/>
      <c r="D557"/>
      <c r="E557"/>
      <c r="F557"/>
    </row>
    <row r="558" spans="1:6" x14ac:dyDescent="0.3">
      <c r="A558"/>
      <c r="B558"/>
      <c r="C558"/>
      <c r="D558"/>
      <c r="E558"/>
      <c r="F558"/>
    </row>
    <row r="559" spans="1:6" x14ac:dyDescent="0.3">
      <c r="A559"/>
      <c r="B559"/>
      <c r="C559"/>
      <c r="D559"/>
      <c r="E559"/>
      <c r="F559"/>
    </row>
    <row r="560" spans="1:6" x14ac:dyDescent="0.3">
      <c r="A560"/>
      <c r="B560"/>
      <c r="C560"/>
      <c r="D560"/>
      <c r="E560"/>
      <c r="F560"/>
    </row>
    <row r="561" spans="1:6" x14ac:dyDescent="0.3">
      <c r="A561"/>
      <c r="B561"/>
      <c r="C561"/>
      <c r="D561"/>
      <c r="E561"/>
      <c r="F561"/>
    </row>
    <row r="562" spans="1:6" x14ac:dyDescent="0.3">
      <c r="A562"/>
      <c r="B562"/>
      <c r="C562"/>
      <c r="D562"/>
      <c r="E562"/>
      <c r="F562"/>
    </row>
    <row r="563" spans="1:6" x14ac:dyDescent="0.3">
      <c r="A563"/>
      <c r="B563"/>
      <c r="C563"/>
      <c r="D563"/>
      <c r="E563"/>
      <c r="F563"/>
    </row>
    <row r="564" spans="1:6" x14ac:dyDescent="0.3">
      <c r="A564"/>
      <c r="B564"/>
      <c r="C564"/>
      <c r="D564"/>
      <c r="E564"/>
      <c r="F564"/>
    </row>
    <row r="565" spans="1:6" x14ac:dyDescent="0.3">
      <c r="A565"/>
      <c r="B565"/>
      <c r="C565"/>
      <c r="D565"/>
      <c r="E565"/>
      <c r="F565"/>
    </row>
    <row r="566" spans="1:6" x14ac:dyDescent="0.3">
      <c r="A566"/>
      <c r="B566"/>
      <c r="C566"/>
      <c r="D566"/>
      <c r="E566"/>
      <c r="F566"/>
    </row>
    <row r="567" spans="1:6" x14ac:dyDescent="0.3">
      <c r="A567"/>
      <c r="B567"/>
      <c r="C567"/>
      <c r="D567"/>
      <c r="E567"/>
      <c r="F567"/>
    </row>
    <row r="568" spans="1:6" x14ac:dyDescent="0.3">
      <c r="A568"/>
      <c r="B568"/>
      <c r="C568"/>
      <c r="D568"/>
      <c r="E568"/>
      <c r="F568"/>
    </row>
    <row r="569" spans="1:6" x14ac:dyDescent="0.3">
      <c r="A569"/>
      <c r="B569"/>
      <c r="C569"/>
      <c r="D569"/>
      <c r="E569"/>
      <c r="F569"/>
    </row>
    <row r="570" spans="1:6" x14ac:dyDescent="0.3">
      <c r="A570"/>
      <c r="B570"/>
      <c r="C570"/>
      <c r="D570"/>
      <c r="E570"/>
      <c r="F570"/>
    </row>
    <row r="571" spans="1:6" x14ac:dyDescent="0.3">
      <c r="A571"/>
      <c r="B571"/>
      <c r="C571"/>
      <c r="D571"/>
      <c r="E571"/>
      <c r="F571"/>
    </row>
    <row r="572" spans="1:6" x14ac:dyDescent="0.3">
      <c r="A572"/>
      <c r="B572"/>
      <c r="C572"/>
      <c r="D572"/>
      <c r="E572"/>
      <c r="F572"/>
    </row>
    <row r="573" spans="1:6" x14ac:dyDescent="0.3">
      <c r="A573"/>
      <c r="B573"/>
      <c r="C573"/>
      <c r="D573"/>
      <c r="E573"/>
      <c r="F573"/>
    </row>
    <row r="574" spans="1:6" x14ac:dyDescent="0.3">
      <c r="A574"/>
      <c r="B574"/>
      <c r="C574"/>
      <c r="D574"/>
      <c r="E574"/>
      <c r="F574"/>
    </row>
    <row r="575" spans="1:6" x14ac:dyDescent="0.3">
      <c r="A575"/>
      <c r="B575"/>
      <c r="C575"/>
      <c r="D575"/>
      <c r="E575"/>
      <c r="F575"/>
    </row>
    <row r="576" spans="1:6" x14ac:dyDescent="0.3">
      <c r="A576"/>
      <c r="B576"/>
      <c r="C576"/>
      <c r="D576"/>
      <c r="E576"/>
      <c r="F576"/>
    </row>
    <row r="577" spans="1:6" x14ac:dyDescent="0.3">
      <c r="A577"/>
      <c r="B577"/>
      <c r="C577"/>
      <c r="D577"/>
      <c r="E577"/>
      <c r="F577"/>
    </row>
    <row r="578" spans="1:6" x14ac:dyDescent="0.3">
      <c r="A578"/>
      <c r="B578"/>
      <c r="C578"/>
      <c r="D578"/>
      <c r="E578"/>
      <c r="F578"/>
    </row>
    <row r="579" spans="1:6" x14ac:dyDescent="0.3">
      <c r="A579"/>
      <c r="B579"/>
      <c r="C579"/>
      <c r="D579"/>
      <c r="E579"/>
      <c r="F579"/>
    </row>
    <row r="580" spans="1:6" x14ac:dyDescent="0.3">
      <c r="A580"/>
      <c r="B580"/>
      <c r="C580"/>
      <c r="D580"/>
      <c r="E580"/>
      <c r="F580"/>
    </row>
    <row r="581" spans="1:6" x14ac:dyDescent="0.3">
      <c r="A581"/>
      <c r="B581"/>
      <c r="C581"/>
      <c r="D581"/>
      <c r="E581"/>
      <c r="F581"/>
    </row>
    <row r="582" spans="1:6" x14ac:dyDescent="0.3">
      <c r="A582"/>
      <c r="B582"/>
      <c r="C582"/>
      <c r="D582"/>
      <c r="E582"/>
      <c r="F582"/>
    </row>
    <row r="583" spans="1:6" x14ac:dyDescent="0.3">
      <c r="A583"/>
      <c r="B583"/>
      <c r="C583"/>
      <c r="D583"/>
      <c r="E583"/>
      <c r="F583"/>
    </row>
    <row r="584" spans="1:6" x14ac:dyDescent="0.3">
      <c r="A584"/>
      <c r="B584"/>
      <c r="C584"/>
      <c r="D584"/>
      <c r="E584"/>
      <c r="F584"/>
    </row>
    <row r="585" spans="1:6" x14ac:dyDescent="0.3">
      <c r="A585"/>
      <c r="B585"/>
      <c r="C585"/>
      <c r="D585"/>
      <c r="E585"/>
      <c r="F585"/>
    </row>
    <row r="586" spans="1:6" x14ac:dyDescent="0.3">
      <c r="A586"/>
      <c r="B586"/>
      <c r="C586"/>
      <c r="D586"/>
      <c r="E586"/>
      <c r="F586"/>
    </row>
    <row r="587" spans="1:6" x14ac:dyDescent="0.3">
      <c r="A587"/>
      <c r="B587"/>
      <c r="C587"/>
      <c r="D587"/>
      <c r="E587"/>
      <c r="F587"/>
    </row>
    <row r="588" spans="1:6" x14ac:dyDescent="0.3">
      <c r="A588"/>
      <c r="B588"/>
      <c r="C588"/>
      <c r="D588"/>
      <c r="E588"/>
      <c r="F588"/>
    </row>
    <row r="589" spans="1:6" x14ac:dyDescent="0.3">
      <c r="A589"/>
      <c r="B589"/>
      <c r="C589"/>
      <c r="D589"/>
      <c r="E589"/>
      <c r="F589"/>
    </row>
    <row r="590" spans="1:6" x14ac:dyDescent="0.3">
      <c r="A590"/>
      <c r="B590"/>
      <c r="C590"/>
      <c r="D590"/>
      <c r="E590"/>
      <c r="F590"/>
    </row>
    <row r="591" spans="1:6" x14ac:dyDescent="0.3">
      <c r="A591"/>
      <c r="B591"/>
      <c r="C591"/>
      <c r="D591"/>
      <c r="E591"/>
      <c r="F591"/>
    </row>
    <row r="592" spans="1:6" x14ac:dyDescent="0.3">
      <c r="A592"/>
      <c r="B592"/>
      <c r="C592"/>
      <c r="D592"/>
      <c r="E592"/>
      <c r="F592"/>
    </row>
    <row r="593" spans="1:6" x14ac:dyDescent="0.3">
      <c r="A593"/>
      <c r="B593"/>
      <c r="C593"/>
      <c r="D593"/>
      <c r="E593"/>
      <c r="F593"/>
    </row>
    <row r="594" spans="1:6" x14ac:dyDescent="0.3">
      <c r="A594"/>
      <c r="B594"/>
      <c r="C594"/>
      <c r="D594"/>
      <c r="E594"/>
      <c r="F594"/>
    </row>
    <row r="595" spans="1:6" x14ac:dyDescent="0.3">
      <c r="A595"/>
      <c r="B595"/>
      <c r="C595"/>
      <c r="D595"/>
      <c r="E595"/>
      <c r="F595"/>
    </row>
    <row r="596" spans="1:6" x14ac:dyDescent="0.3">
      <c r="A596"/>
      <c r="B596"/>
      <c r="C596"/>
      <c r="D596"/>
      <c r="E596"/>
      <c r="F596"/>
    </row>
    <row r="597" spans="1:6" x14ac:dyDescent="0.3">
      <c r="A597"/>
      <c r="B597"/>
      <c r="C597"/>
      <c r="D597"/>
      <c r="E597"/>
      <c r="F597"/>
    </row>
    <row r="598" spans="1:6" x14ac:dyDescent="0.3">
      <c r="A598"/>
      <c r="B598"/>
      <c r="C598"/>
      <c r="D598"/>
      <c r="E598"/>
      <c r="F598"/>
    </row>
    <row r="599" spans="1:6" x14ac:dyDescent="0.3">
      <c r="A599"/>
      <c r="B599"/>
      <c r="C599"/>
      <c r="D599"/>
      <c r="E599"/>
      <c r="F599"/>
    </row>
    <row r="600" spans="1:6" x14ac:dyDescent="0.3">
      <c r="A600"/>
      <c r="B600"/>
      <c r="C600"/>
      <c r="D600"/>
      <c r="E600"/>
      <c r="F600"/>
    </row>
    <row r="601" spans="1:6" x14ac:dyDescent="0.3">
      <c r="A601"/>
      <c r="B601"/>
      <c r="C601"/>
      <c r="D601"/>
      <c r="E601"/>
      <c r="F601"/>
    </row>
    <row r="602" spans="1:6" x14ac:dyDescent="0.3">
      <c r="A602"/>
      <c r="B602"/>
      <c r="C602"/>
      <c r="D602"/>
      <c r="E602"/>
      <c r="F602"/>
    </row>
    <row r="603" spans="1:6" x14ac:dyDescent="0.3">
      <c r="A603"/>
      <c r="B603"/>
      <c r="C603"/>
      <c r="D603"/>
      <c r="E603"/>
      <c r="F603"/>
    </row>
    <row r="604" spans="1:6" x14ac:dyDescent="0.3">
      <c r="A604"/>
      <c r="B604"/>
      <c r="C604"/>
      <c r="D604"/>
      <c r="E604"/>
      <c r="F604"/>
    </row>
    <row r="605" spans="1:6" x14ac:dyDescent="0.3">
      <c r="A605"/>
      <c r="B605"/>
      <c r="C605"/>
      <c r="D605"/>
      <c r="E605"/>
      <c r="F605"/>
    </row>
    <row r="606" spans="1:6" x14ac:dyDescent="0.3">
      <c r="A606"/>
      <c r="B606"/>
      <c r="C606"/>
      <c r="D606"/>
      <c r="E606"/>
      <c r="F606"/>
    </row>
    <row r="607" spans="1:6" x14ac:dyDescent="0.3">
      <c r="A607"/>
      <c r="B607"/>
      <c r="C607"/>
      <c r="D607"/>
      <c r="E607"/>
      <c r="F607"/>
    </row>
    <row r="608" spans="1:6" x14ac:dyDescent="0.3">
      <c r="A608"/>
      <c r="B608"/>
      <c r="C608"/>
      <c r="D608"/>
      <c r="E608"/>
      <c r="F608"/>
    </row>
    <row r="609" spans="1:6" x14ac:dyDescent="0.3">
      <c r="A609"/>
      <c r="B609"/>
      <c r="C609"/>
      <c r="D609"/>
      <c r="E609"/>
      <c r="F609"/>
    </row>
    <row r="610" spans="1:6" x14ac:dyDescent="0.3">
      <c r="A610"/>
      <c r="B610"/>
      <c r="C610"/>
      <c r="D610"/>
      <c r="E610"/>
      <c r="F610"/>
    </row>
    <row r="611" spans="1:6" x14ac:dyDescent="0.3">
      <c r="A611"/>
      <c r="B611"/>
      <c r="C611"/>
      <c r="D611"/>
      <c r="E611"/>
      <c r="F611"/>
    </row>
    <row r="612" spans="1:6" x14ac:dyDescent="0.3">
      <c r="A612"/>
      <c r="B612"/>
      <c r="C612"/>
      <c r="D612"/>
      <c r="E612"/>
      <c r="F612"/>
    </row>
    <row r="613" spans="1:6" x14ac:dyDescent="0.3">
      <c r="A613"/>
      <c r="B613"/>
      <c r="C613"/>
      <c r="D613"/>
      <c r="E613"/>
      <c r="F613"/>
    </row>
    <row r="614" spans="1:6" x14ac:dyDescent="0.3">
      <c r="A614"/>
      <c r="B614"/>
      <c r="C614"/>
      <c r="D614"/>
      <c r="E614"/>
      <c r="F614"/>
    </row>
    <row r="615" spans="1:6" x14ac:dyDescent="0.3">
      <c r="A615"/>
      <c r="B615"/>
      <c r="C615"/>
      <c r="D615"/>
      <c r="E615"/>
      <c r="F615"/>
    </row>
    <row r="616" spans="1:6" x14ac:dyDescent="0.3">
      <c r="A616"/>
      <c r="B616"/>
      <c r="C616"/>
      <c r="D616"/>
      <c r="E616"/>
      <c r="F616"/>
    </row>
    <row r="617" spans="1:6" x14ac:dyDescent="0.3">
      <c r="A617"/>
      <c r="B617"/>
      <c r="C617"/>
      <c r="D617"/>
      <c r="E617"/>
      <c r="F617"/>
    </row>
    <row r="618" spans="1:6" x14ac:dyDescent="0.3">
      <c r="A618"/>
      <c r="B618"/>
      <c r="C618"/>
      <c r="D618"/>
      <c r="E618"/>
      <c r="F618"/>
    </row>
  </sheetData>
  <autoFilter ref="A1:G348" xr:uid="{8EDB25A6-CEB8-41DE-AA5F-63085C08CFAE}"/>
  <mergeCells count="1">
    <mergeCell ref="I1:K1"/>
  </mergeCells>
  <conditionalFormatting sqref="K2:K266">
    <cfRule type="expression" dxfId="1" priority="1">
      <formula>K2&lt;&gt;H2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7DAE-DE64-45D1-A41F-D57FF9FEB19D}">
  <sheetPr codeName="Sheet4"/>
  <dimension ref="A1:O618"/>
  <sheetViews>
    <sheetView workbookViewId="0">
      <selection activeCell="K22" sqref="K22"/>
    </sheetView>
  </sheetViews>
  <sheetFormatPr defaultRowHeight="14.4" x14ac:dyDescent="0.3"/>
  <cols>
    <col min="1" max="3" width="8.88671875" style="16"/>
    <col min="5" max="7" width="8.88671875" style="2"/>
  </cols>
  <sheetData>
    <row r="1" spans="1:15" x14ac:dyDescent="0.3">
      <c r="A1" s="23" t="s">
        <v>620</v>
      </c>
      <c r="B1" s="23" t="s">
        <v>619</v>
      </c>
      <c r="C1" s="23" t="s">
        <v>0</v>
      </c>
      <c r="D1" s="22" t="s">
        <v>16</v>
      </c>
      <c r="E1" s="26" t="s">
        <v>621</v>
      </c>
      <c r="F1" s="26"/>
      <c r="G1" s="26"/>
      <c r="H1" s="27" t="s">
        <v>7</v>
      </c>
      <c r="I1">
        <v>6.6675958206720036</v>
      </c>
      <c r="J1">
        <v>-3.4960048381005375</v>
      </c>
      <c r="K1">
        <v>-2.7013138714944089</v>
      </c>
      <c r="L1">
        <v>-5.7576936734954636</v>
      </c>
      <c r="M1">
        <v>-4.4624924911300212</v>
      </c>
      <c r="N1">
        <v>-4.3999759210387754</v>
      </c>
      <c r="O1">
        <v>-5.5568859828750412</v>
      </c>
    </row>
    <row r="2" spans="1:15" x14ac:dyDescent="0.3">
      <c r="A2" s="23">
        <v>0</v>
      </c>
      <c r="B2" s="23">
        <v>0</v>
      </c>
      <c r="C2" s="23">
        <v>1</v>
      </c>
      <c r="D2" s="22">
        <v>0</v>
      </c>
      <c r="E2" s="2">
        <v>4.3162763721896813E-2</v>
      </c>
      <c r="F2" s="2">
        <f>E2*100</f>
        <v>4.3162763721896811</v>
      </c>
      <c r="G2" s="2">
        <f>IF(F2&gt;50, 1, 0)</f>
        <v>0</v>
      </c>
    </row>
    <row r="3" spans="1:15" x14ac:dyDescent="0.3">
      <c r="A3" s="23">
        <v>0</v>
      </c>
      <c r="B3" s="23">
        <v>0</v>
      </c>
      <c r="C3" s="23">
        <v>0</v>
      </c>
      <c r="D3" s="22">
        <v>1</v>
      </c>
      <c r="E3" s="2">
        <v>0.5585152771803511</v>
      </c>
      <c r="F3" s="2">
        <f t="shared" ref="F3:F66" si="0">E3*100</f>
        <v>55.851527718035108</v>
      </c>
      <c r="G3" s="2">
        <f t="shared" ref="G3:G66" si="1">IF(F3&gt;50, 1, 0)</f>
        <v>1</v>
      </c>
    </row>
    <row r="4" spans="1:15" x14ac:dyDescent="0.3">
      <c r="A4" s="23">
        <v>1</v>
      </c>
      <c r="B4" s="23">
        <v>0</v>
      </c>
      <c r="C4" s="23">
        <v>1</v>
      </c>
      <c r="D4" s="22">
        <v>0</v>
      </c>
      <c r="E4" s="2">
        <v>4.3162589133925407E-2</v>
      </c>
      <c r="F4" s="2">
        <f t="shared" si="0"/>
        <v>4.3162589133925406</v>
      </c>
      <c r="G4" s="2">
        <f t="shared" si="1"/>
        <v>0</v>
      </c>
    </row>
    <row r="5" spans="1:15" x14ac:dyDescent="0.3">
      <c r="A5" s="23">
        <v>0</v>
      </c>
      <c r="B5" s="23">
        <v>0</v>
      </c>
      <c r="C5" s="23">
        <v>1</v>
      </c>
      <c r="D5" s="22">
        <v>0</v>
      </c>
      <c r="E5" s="2">
        <v>4.3162763721896813E-2</v>
      </c>
      <c r="F5" s="2">
        <f t="shared" si="0"/>
        <v>4.3162763721896811</v>
      </c>
      <c r="G5" s="2">
        <f t="shared" si="1"/>
        <v>0</v>
      </c>
    </row>
    <row r="6" spans="1:15" x14ac:dyDescent="0.3">
      <c r="A6" s="23">
        <v>0</v>
      </c>
      <c r="B6" s="23">
        <v>0</v>
      </c>
      <c r="C6" s="23">
        <v>0</v>
      </c>
      <c r="D6" s="22">
        <v>1</v>
      </c>
      <c r="E6" s="2">
        <v>0.5585152771803511</v>
      </c>
      <c r="F6" s="2">
        <f t="shared" si="0"/>
        <v>55.851527718035108</v>
      </c>
      <c r="G6" s="2">
        <f t="shared" si="1"/>
        <v>1</v>
      </c>
    </row>
    <row r="7" spans="1:15" x14ac:dyDescent="0.3">
      <c r="A7" s="23">
        <v>0</v>
      </c>
      <c r="B7" s="23">
        <v>0</v>
      </c>
      <c r="C7" s="23">
        <v>1</v>
      </c>
      <c r="D7" s="22">
        <v>0</v>
      </c>
      <c r="E7" s="2">
        <v>4.3162763721896813E-2</v>
      </c>
      <c r="F7" s="2">
        <f t="shared" si="0"/>
        <v>4.3162763721896811</v>
      </c>
      <c r="G7" s="2">
        <f t="shared" si="1"/>
        <v>0</v>
      </c>
    </row>
    <row r="8" spans="1:15" x14ac:dyDescent="0.3">
      <c r="A8" s="23">
        <v>0</v>
      </c>
      <c r="B8" s="23">
        <v>0</v>
      </c>
      <c r="C8" s="23">
        <v>0</v>
      </c>
      <c r="D8" s="22">
        <v>1</v>
      </c>
      <c r="E8" s="2">
        <v>0.5585152771803511</v>
      </c>
      <c r="F8" s="2">
        <f t="shared" si="0"/>
        <v>55.851527718035108</v>
      </c>
      <c r="G8" s="2">
        <f t="shared" si="1"/>
        <v>1</v>
      </c>
    </row>
    <row r="9" spans="1:15" x14ac:dyDescent="0.3">
      <c r="A9" s="23">
        <v>1</v>
      </c>
      <c r="B9" s="23">
        <v>0</v>
      </c>
      <c r="C9" s="23">
        <v>1</v>
      </c>
      <c r="D9" s="22">
        <v>0</v>
      </c>
      <c r="E9" s="2">
        <v>4.3162589133925407E-2</v>
      </c>
      <c r="F9" s="2">
        <f t="shared" si="0"/>
        <v>4.3162589133925406</v>
      </c>
      <c r="G9" s="2">
        <f t="shared" si="1"/>
        <v>0</v>
      </c>
    </row>
    <row r="10" spans="1:15" x14ac:dyDescent="0.3">
      <c r="A10" s="23">
        <v>0</v>
      </c>
      <c r="B10" s="23">
        <v>0</v>
      </c>
      <c r="C10" s="23">
        <v>0</v>
      </c>
      <c r="D10" s="22">
        <v>1</v>
      </c>
      <c r="E10" s="2">
        <v>0.5585152771803511</v>
      </c>
      <c r="F10" s="2">
        <f t="shared" si="0"/>
        <v>55.851527718035108</v>
      </c>
      <c r="G10" s="2">
        <f t="shared" si="1"/>
        <v>1</v>
      </c>
    </row>
    <row r="11" spans="1:15" x14ac:dyDescent="0.3">
      <c r="A11" s="23">
        <v>0</v>
      </c>
      <c r="B11" s="23">
        <v>0</v>
      </c>
      <c r="C11" s="23">
        <v>1</v>
      </c>
      <c r="D11" s="22">
        <v>0</v>
      </c>
      <c r="E11" s="2">
        <v>4.3162763721896813E-2</v>
      </c>
      <c r="F11" s="2">
        <f t="shared" si="0"/>
        <v>4.3162763721896811</v>
      </c>
      <c r="G11" s="2">
        <f t="shared" si="1"/>
        <v>0</v>
      </c>
    </row>
    <row r="12" spans="1:15" x14ac:dyDescent="0.3">
      <c r="A12" s="23">
        <v>0</v>
      </c>
      <c r="B12" s="23">
        <v>1</v>
      </c>
      <c r="C12" s="23">
        <v>1</v>
      </c>
      <c r="D12" s="22">
        <v>0</v>
      </c>
      <c r="E12" s="2">
        <v>4.3162614548656636E-2</v>
      </c>
      <c r="F12" s="2">
        <f t="shared" si="0"/>
        <v>4.3162614548656633</v>
      </c>
      <c r="G12" s="2">
        <f t="shared" si="1"/>
        <v>0</v>
      </c>
    </row>
    <row r="13" spans="1:15" x14ac:dyDescent="0.3">
      <c r="A13" s="23">
        <v>0</v>
      </c>
      <c r="B13" s="23">
        <v>1</v>
      </c>
      <c r="C13" s="23">
        <v>0</v>
      </c>
      <c r="D13" s="22">
        <v>1</v>
      </c>
      <c r="E13" s="2">
        <v>9.5244484241092831E-2</v>
      </c>
      <c r="F13" s="2">
        <f t="shared" si="0"/>
        <v>9.5244484241092824</v>
      </c>
      <c r="G13" s="2">
        <f t="shared" si="1"/>
        <v>0</v>
      </c>
    </row>
    <row r="14" spans="1:15" x14ac:dyDescent="0.3">
      <c r="A14" s="23">
        <v>1</v>
      </c>
      <c r="B14" s="23">
        <v>0</v>
      </c>
      <c r="C14" s="23">
        <v>1</v>
      </c>
      <c r="D14" s="22">
        <v>0</v>
      </c>
      <c r="E14" s="2">
        <v>4.3162589133925407E-2</v>
      </c>
      <c r="F14" s="2">
        <f t="shared" si="0"/>
        <v>4.3162589133925406</v>
      </c>
      <c r="G14" s="2">
        <f t="shared" si="1"/>
        <v>0</v>
      </c>
    </row>
    <row r="15" spans="1:15" x14ac:dyDescent="0.3">
      <c r="A15" s="23">
        <v>0</v>
      </c>
      <c r="B15" s="23">
        <v>1</v>
      </c>
      <c r="C15" s="23">
        <v>0</v>
      </c>
      <c r="D15" s="22">
        <v>1</v>
      </c>
      <c r="E15" s="2">
        <v>9.5244484241092831E-2</v>
      </c>
      <c r="F15" s="2">
        <f t="shared" si="0"/>
        <v>9.5244484241092824</v>
      </c>
      <c r="G15" s="2">
        <f t="shared" si="1"/>
        <v>0</v>
      </c>
    </row>
    <row r="16" spans="1:15" x14ac:dyDescent="0.3">
      <c r="A16" s="23">
        <v>1</v>
      </c>
      <c r="B16" s="23">
        <v>0</v>
      </c>
      <c r="C16" s="23">
        <v>0</v>
      </c>
      <c r="D16" s="22">
        <v>1</v>
      </c>
      <c r="E16" s="2">
        <v>4.3173789458881028E-2</v>
      </c>
      <c r="F16" s="2">
        <f t="shared" si="0"/>
        <v>4.3173789458881027</v>
      </c>
      <c r="G16" s="2">
        <f t="shared" si="1"/>
        <v>0</v>
      </c>
    </row>
    <row r="17" spans="1:7" x14ac:dyDescent="0.3">
      <c r="A17" s="23">
        <v>1</v>
      </c>
      <c r="B17" s="23">
        <v>0</v>
      </c>
      <c r="C17" s="23">
        <v>1</v>
      </c>
      <c r="D17" s="22">
        <v>0</v>
      </c>
      <c r="E17" s="2">
        <v>4.3162589133925407E-2</v>
      </c>
      <c r="F17" s="2">
        <f t="shared" si="0"/>
        <v>4.3162589133925406</v>
      </c>
      <c r="G17" s="2">
        <f t="shared" si="1"/>
        <v>0</v>
      </c>
    </row>
    <row r="18" spans="1:7" x14ac:dyDescent="0.3">
      <c r="A18" s="23">
        <v>0</v>
      </c>
      <c r="B18" s="23">
        <v>0</v>
      </c>
      <c r="C18" s="23">
        <v>1</v>
      </c>
      <c r="D18" s="22">
        <v>0</v>
      </c>
      <c r="E18" s="2">
        <v>4.3162763721896813E-2</v>
      </c>
      <c r="F18" s="2">
        <f t="shared" si="0"/>
        <v>4.3162763721896811</v>
      </c>
      <c r="G18" s="2">
        <f t="shared" si="1"/>
        <v>0</v>
      </c>
    </row>
    <row r="19" spans="1:7" x14ac:dyDescent="0.3">
      <c r="A19" s="23">
        <v>0</v>
      </c>
      <c r="B19" s="23">
        <v>0</v>
      </c>
      <c r="C19" s="23">
        <v>0</v>
      </c>
      <c r="D19" s="22">
        <v>1</v>
      </c>
      <c r="E19" s="2">
        <v>0.5585152771803511</v>
      </c>
      <c r="F19" s="2">
        <f t="shared" si="0"/>
        <v>55.851527718035108</v>
      </c>
      <c r="G19" s="2">
        <f t="shared" si="1"/>
        <v>1</v>
      </c>
    </row>
    <row r="20" spans="1:7" x14ac:dyDescent="0.3">
      <c r="A20" s="23">
        <v>0</v>
      </c>
      <c r="B20" s="23">
        <v>0</v>
      </c>
      <c r="C20" s="23">
        <v>0</v>
      </c>
      <c r="D20" s="22">
        <v>1</v>
      </c>
      <c r="E20" s="2">
        <v>0.5585152771803511</v>
      </c>
      <c r="F20" s="2">
        <f t="shared" si="0"/>
        <v>55.851527718035108</v>
      </c>
      <c r="G20" s="2">
        <f t="shared" si="1"/>
        <v>1</v>
      </c>
    </row>
    <row r="21" spans="1:7" x14ac:dyDescent="0.3">
      <c r="A21" s="23">
        <v>0</v>
      </c>
      <c r="B21" s="23">
        <v>1</v>
      </c>
      <c r="C21" s="23">
        <v>1</v>
      </c>
      <c r="D21" s="22">
        <v>0</v>
      </c>
      <c r="E21" s="2">
        <v>4.3162614548656636E-2</v>
      </c>
      <c r="F21" s="2">
        <f t="shared" si="0"/>
        <v>4.3162614548656633</v>
      </c>
      <c r="G21" s="2">
        <f t="shared" si="1"/>
        <v>0</v>
      </c>
    </row>
    <row r="22" spans="1:7" x14ac:dyDescent="0.3">
      <c r="A22" s="23">
        <v>0</v>
      </c>
      <c r="B22" s="23">
        <v>0</v>
      </c>
      <c r="C22" s="23">
        <v>1</v>
      </c>
      <c r="D22" s="22">
        <v>1</v>
      </c>
      <c r="E22" s="2">
        <v>4.3162763721896813E-2</v>
      </c>
      <c r="F22" s="2">
        <f t="shared" si="0"/>
        <v>4.3162763721896811</v>
      </c>
      <c r="G22" s="2">
        <f t="shared" si="1"/>
        <v>0</v>
      </c>
    </row>
    <row r="23" spans="1:7" x14ac:dyDescent="0.3">
      <c r="A23" s="23">
        <v>0</v>
      </c>
      <c r="B23" s="23">
        <v>1</v>
      </c>
      <c r="C23" s="23">
        <v>1</v>
      </c>
      <c r="D23" s="22">
        <v>0</v>
      </c>
      <c r="E23" s="2">
        <v>4.3162614548656636E-2</v>
      </c>
      <c r="F23" s="2">
        <f t="shared" si="0"/>
        <v>4.3162614548656633</v>
      </c>
      <c r="G23" s="2">
        <f t="shared" si="1"/>
        <v>0</v>
      </c>
    </row>
    <row r="24" spans="1:7" x14ac:dyDescent="0.3">
      <c r="A24" s="23">
        <v>0</v>
      </c>
      <c r="B24" s="23">
        <v>1</v>
      </c>
      <c r="C24" s="23">
        <v>0</v>
      </c>
      <c r="D24" s="22">
        <v>1</v>
      </c>
      <c r="E24" s="2">
        <v>9.5244484241092831E-2</v>
      </c>
      <c r="F24" s="2">
        <f t="shared" si="0"/>
        <v>9.5244484241092824</v>
      </c>
      <c r="G24" s="2">
        <f t="shared" si="1"/>
        <v>0</v>
      </c>
    </row>
    <row r="25" spans="1:7" x14ac:dyDescent="0.3">
      <c r="A25" s="23">
        <v>0</v>
      </c>
      <c r="B25" s="23">
        <v>0</v>
      </c>
      <c r="C25" s="23">
        <v>1</v>
      </c>
      <c r="D25" s="22">
        <v>0</v>
      </c>
      <c r="E25" s="2">
        <v>4.3162763721896813E-2</v>
      </c>
      <c r="F25" s="2">
        <f t="shared" si="0"/>
        <v>4.3162763721896811</v>
      </c>
      <c r="G25" s="2">
        <f t="shared" si="1"/>
        <v>0</v>
      </c>
    </row>
    <row r="26" spans="1:7" x14ac:dyDescent="0.3">
      <c r="A26" s="23">
        <v>0</v>
      </c>
      <c r="B26" s="23">
        <v>1</v>
      </c>
      <c r="C26" s="23">
        <v>0</v>
      </c>
      <c r="D26" s="22">
        <v>1</v>
      </c>
      <c r="E26" s="2">
        <v>9.5244484241092831E-2</v>
      </c>
      <c r="F26" s="2">
        <f t="shared" si="0"/>
        <v>9.5244484241092824</v>
      </c>
      <c r="G26" s="2">
        <f t="shared" si="1"/>
        <v>0</v>
      </c>
    </row>
    <row r="27" spans="1:7" x14ac:dyDescent="0.3">
      <c r="A27" s="23">
        <v>0</v>
      </c>
      <c r="B27" s="23">
        <v>0</v>
      </c>
      <c r="C27" s="23">
        <v>1</v>
      </c>
      <c r="D27" s="22">
        <v>0</v>
      </c>
      <c r="E27" s="2">
        <v>4.3162763721896813E-2</v>
      </c>
      <c r="F27" s="2">
        <f t="shared" si="0"/>
        <v>4.3162763721896811</v>
      </c>
      <c r="G27" s="2">
        <f t="shared" si="1"/>
        <v>0</v>
      </c>
    </row>
    <row r="28" spans="1:7" x14ac:dyDescent="0.3">
      <c r="A28" s="23">
        <v>0</v>
      </c>
      <c r="B28" s="23">
        <v>1</v>
      </c>
      <c r="C28" s="23">
        <v>1</v>
      </c>
      <c r="D28" s="22">
        <v>0</v>
      </c>
      <c r="E28" s="2">
        <v>4.3162614548656636E-2</v>
      </c>
      <c r="F28" s="2">
        <f t="shared" si="0"/>
        <v>4.3162614548656633</v>
      </c>
      <c r="G28" s="2">
        <f t="shared" si="1"/>
        <v>0</v>
      </c>
    </row>
    <row r="29" spans="1:7" x14ac:dyDescent="0.3">
      <c r="A29" s="23">
        <v>1</v>
      </c>
      <c r="B29" s="23">
        <v>0</v>
      </c>
      <c r="C29" s="23">
        <v>1</v>
      </c>
      <c r="D29" s="22">
        <v>0</v>
      </c>
      <c r="E29" s="2">
        <v>4.3162589133925407E-2</v>
      </c>
      <c r="F29" s="2">
        <f t="shared" si="0"/>
        <v>4.3162589133925406</v>
      </c>
      <c r="G29" s="2">
        <f t="shared" si="1"/>
        <v>0</v>
      </c>
    </row>
    <row r="30" spans="1:7" x14ac:dyDescent="0.3">
      <c r="A30" s="23">
        <v>1</v>
      </c>
      <c r="B30" s="23">
        <v>0</v>
      </c>
      <c r="C30" s="23">
        <v>1</v>
      </c>
      <c r="D30" s="22">
        <v>0</v>
      </c>
      <c r="E30" s="2">
        <v>4.3162589133925407E-2</v>
      </c>
      <c r="F30" s="2">
        <f t="shared" si="0"/>
        <v>4.3162589133925406</v>
      </c>
      <c r="G30" s="2">
        <f t="shared" si="1"/>
        <v>0</v>
      </c>
    </row>
    <row r="31" spans="1:7" x14ac:dyDescent="0.3">
      <c r="A31" s="23">
        <v>0</v>
      </c>
      <c r="B31" s="23">
        <v>0</v>
      </c>
      <c r="C31" s="23">
        <v>0</v>
      </c>
      <c r="D31" s="22">
        <v>0</v>
      </c>
      <c r="E31" s="2">
        <v>0.5585152771803511</v>
      </c>
      <c r="F31" s="2">
        <f t="shared" si="0"/>
        <v>55.851527718035108</v>
      </c>
      <c r="G31" s="2">
        <f t="shared" si="1"/>
        <v>1</v>
      </c>
    </row>
    <row r="32" spans="1:7" x14ac:dyDescent="0.3">
      <c r="A32" s="23">
        <v>0</v>
      </c>
      <c r="B32" s="23">
        <v>1</v>
      </c>
      <c r="C32" s="23">
        <v>1</v>
      </c>
      <c r="D32" s="22">
        <v>0</v>
      </c>
      <c r="E32" s="2">
        <v>4.3162614548656636E-2</v>
      </c>
      <c r="F32" s="2">
        <f t="shared" si="0"/>
        <v>4.3162614548656633</v>
      </c>
      <c r="G32" s="2">
        <f t="shared" si="1"/>
        <v>0</v>
      </c>
    </row>
    <row r="33" spans="1:7" x14ac:dyDescent="0.3">
      <c r="A33" s="23">
        <v>0</v>
      </c>
      <c r="B33" s="23">
        <v>0</v>
      </c>
      <c r="C33" s="23">
        <v>1</v>
      </c>
      <c r="D33" s="22">
        <v>0</v>
      </c>
      <c r="E33" s="2">
        <v>4.3162763721896813E-2</v>
      </c>
      <c r="F33" s="2">
        <f t="shared" si="0"/>
        <v>4.3162763721896811</v>
      </c>
      <c r="G33" s="2">
        <f t="shared" si="1"/>
        <v>0</v>
      </c>
    </row>
    <row r="34" spans="1:7" x14ac:dyDescent="0.3">
      <c r="A34" s="23">
        <v>0</v>
      </c>
      <c r="B34" s="23">
        <v>0</v>
      </c>
      <c r="C34" s="23">
        <v>1</v>
      </c>
      <c r="D34" s="22">
        <v>1</v>
      </c>
      <c r="E34" s="2">
        <v>4.3162763721896813E-2</v>
      </c>
      <c r="F34" s="2">
        <f t="shared" si="0"/>
        <v>4.3162763721896811</v>
      </c>
      <c r="G34" s="2">
        <f t="shared" si="1"/>
        <v>0</v>
      </c>
    </row>
    <row r="35" spans="1:7" x14ac:dyDescent="0.3">
      <c r="A35" s="23">
        <v>0</v>
      </c>
      <c r="B35" s="23">
        <v>0</v>
      </c>
      <c r="C35" s="23">
        <v>1</v>
      </c>
      <c r="D35" s="22">
        <v>0</v>
      </c>
      <c r="E35" s="2">
        <v>4.3162763721896813E-2</v>
      </c>
      <c r="F35" s="2">
        <f t="shared" si="0"/>
        <v>4.3162763721896811</v>
      </c>
      <c r="G35" s="2">
        <f t="shared" si="1"/>
        <v>0</v>
      </c>
    </row>
    <row r="36" spans="1:7" x14ac:dyDescent="0.3">
      <c r="A36" s="23">
        <v>1</v>
      </c>
      <c r="B36" s="23">
        <v>0</v>
      </c>
      <c r="C36" s="23">
        <v>0</v>
      </c>
      <c r="D36" s="22">
        <v>0</v>
      </c>
      <c r="E36" s="2">
        <v>4.3173789458881028E-2</v>
      </c>
      <c r="F36" s="2">
        <f t="shared" si="0"/>
        <v>4.3173789458881027</v>
      </c>
      <c r="G36" s="2">
        <f t="shared" si="1"/>
        <v>0</v>
      </c>
    </row>
    <row r="37" spans="1:7" x14ac:dyDescent="0.3">
      <c r="A37" s="23">
        <v>0</v>
      </c>
      <c r="B37" s="23">
        <v>0</v>
      </c>
      <c r="C37" s="23">
        <v>1</v>
      </c>
      <c r="D37" s="22">
        <v>0</v>
      </c>
      <c r="E37" s="2">
        <v>4.3162763721896813E-2</v>
      </c>
      <c r="F37" s="2">
        <f t="shared" si="0"/>
        <v>4.3162763721896811</v>
      </c>
      <c r="G37" s="2">
        <f t="shared" si="1"/>
        <v>0</v>
      </c>
    </row>
    <row r="38" spans="1:7" x14ac:dyDescent="0.3">
      <c r="A38" s="23">
        <v>0</v>
      </c>
      <c r="B38" s="23">
        <v>1</v>
      </c>
      <c r="C38" s="23">
        <v>1</v>
      </c>
      <c r="D38" s="22">
        <v>1</v>
      </c>
      <c r="E38" s="2">
        <v>4.3162614548656636E-2</v>
      </c>
      <c r="F38" s="2">
        <f t="shared" si="0"/>
        <v>4.3162614548656633</v>
      </c>
      <c r="G38" s="2">
        <f t="shared" si="1"/>
        <v>0</v>
      </c>
    </row>
    <row r="39" spans="1:7" x14ac:dyDescent="0.3">
      <c r="A39" s="23">
        <v>0</v>
      </c>
      <c r="B39" s="23">
        <v>1</v>
      </c>
      <c r="C39" s="23">
        <v>0</v>
      </c>
      <c r="D39" s="22">
        <v>1</v>
      </c>
      <c r="E39" s="2">
        <v>9.5244484241092831E-2</v>
      </c>
      <c r="F39" s="2">
        <f t="shared" si="0"/>
        <v>9.5244484241092824</v>
      </c>
      <c r="G39" s="2">
        <f t="shared" si="1"/>
        <v>0</v>
      </c>
    </row>
    <row r="40" spans="1:7" x14ac:dyDescent="0.3">
      <c r="A40" s="23">
        <v>0</v>
      </c>
      <c r="B40" s="23">
        <v>0</v>
      </c>
      <c r="C40" s="23">
        <v>0</v>
      </c>
      <c r="D40" s="22">
        <v>0</v>
      </c>
      <c r="E40" s="2">
        <v>0.5585152771803511</v>
      </c>
      <c r="F40" s="2">
        <f t="shared" si="0"/>
        <v>55.851527718035108</v>
      </c>
      <c r="G40" s="2">
        <f t="shared" si="1"/>
        <v>1</v>
      </c>
    </row>
    <row r="41" spans="1:7" x14ac:dyDescent="0.3">
      <c r="A41" s="23">
        <v>0</v>
      </c>
      <c r="B41" s="23">
        <v>1</v>
      </c>
      <c r="C41" s="23">
        <v>1</v>
      </c>
      <c r="D41" s="22">
        <v>0</v>
      </c>
      <c r="E41" s="2">
        <v>4.3162614548656636E-2</v>
      </c>
      <c r="F41" s="2">
        <f t="shared" si="0"/>
        <v>4.3162614548656633</v>
      </c>
      <c r="G41" s="2">
        <f t="shared" si="1"/>
        <v>0</v>
      </c>
    </row>
    <row r="42" spans="1:7" x14ac:dyDescent="0.3">
      <c r="A42" s="23">
        <v>1</v>
      </c>
      <c r="B42" s="23">
        <v>0</v>
      </c>
      <c r="C42" s="23">
        <v>0</v>
      </c>
      <c r="D42" s="22">
        <v>1</v>
      </c>
      <c r="E42" s="2">
        <v>4.3173789458881028E-2</v>
      </c>
      <c r="F42" s="2">
        <f t="shared" si="0"/>
        <v>4.3173789458881027</v>
      </c>
      <c r="G42" s="2">
        <f t="shared" si="1"/>
        <v>0</v>
      </c>
    </row>
    <row r="43" spans="1:7" x14ac:dyDescent="0.3">
      <c r="A43" s="23">
        <v>0</v>
      </c>
      <c r="B43" s="23">
        <v>1</v>
      </c>
      <c r="C43" s="23">
        <v>0</v>
      </c>
      <c r="D43" s="22">
        <v>1</v>
      </c>
      <c r="E43" s="2">
        <v>9.5244484241092831E-2</v>
      </c>
      <c r="F43" s="2">
        <f t="shared" si="0"/>
        <v>9.5244484241092824</v>
      </c>
      <c r="G43" s="2">
        <f t="shared" si="1"/>
        <v>0</v>
      </c>
    </row>
    <row r="44" spans="1:7" x14ac:dyDescent="0.3">
      <c r="A44" s="23">
        <v>0</v>
      </c>
      <c r="B44" s="23">
        <v>0</v>
      </c>
      <c r="C44" s="23">
        <v>1</v>
      </c>
      <c r="D44" s="22">
        <v>0</v>
      </c>
      <c r="E44" s="2">
        <v>4.3162763721896813E-2</v>
      </c>
      <c r="F44" s="2">
        <f t="shared" si="0"/>
        <v>4.3162763721896811</v>
      </c>
      <c r="G44" s="2">
        <f t="shared" si="1"/>
        <v>0</v>
      </c>
    </row>
    <row r="45" spans="1:7" x14ac:dyDescent="0.3">
      <c r="A45" s="23">
        <v>0</v>
      </c>
      <c r="B45" s="23">
        <v>0</v>
      </c>
      <c r="C45" s="23">
        <v>1</v>
      </c>
      <c r="D45" s="22">
        <v>0</v>
      </c>
      <c r="E45" s="2">
        <v>4.3162763721896813E-2</v>
      </c>
      <c r="F45" s="2">
        <f t="shared" si="0"/>
        <v>4.3162763721896811</v>
      </c>
      <c r="G45" s="2">
        <f t="shared" si="1"/>
        <v>0</v>
      </c>
    </row>
    <row r="46" spans="1:7" x14ac:dyDescent="0.3">
      <c r="A46" s="23">
        <v>0</v>
      </c>
      <c r="B46" s="23">
        <v>0</v>
      </c>
      <c r="C46" s="23">
        <v>1</v>
      </c>
      <c r="D46" s="22">
        <v>1</v>
      </c>
      <c r="E46" s="2">
        <v>4.3162763721896813E-2</v>
      </c>
      <c r="F46" s="2">
        <f t="shared" si="0"/>
        <v>4.3162763721896811</v>
      </c>
      <c r="G46" s="2">
        <f t="shared" si="1"/>
        <v>0</v>
      </c>
    </row>
    <row r="47" spans="1:7" x14ac:dyDescent="0.3">
      <c r="A47" s="23">
        <v>0</v>
      </c>
      <c r="B47" s="23">
        <v>1</v>
      </c>
      <c r="C47" s="23">
        <v>0</v>
      </c>
      <c r="D47" s="22">
        <v>1</v>
      </c>
      <c r="E47" s="2">
        <v>9.5244484241092831E-2</v>
      </c>
      <c r="F47" s="2">
        <f t="shared" si="0"/>
        <v>9.5244484241092824</v>
      </c>
      <c r="G47" s="2">
        <f t="shared" si="1"/>
        <v>0</v>
      </c>
    </row>
    <row r="48" spans="1:7" x14ac:dyDescent="0.3">
      <c r="A48" s="23">
        <v>1</v>
      </c>
      <c r="B48" s="23">
        <v>0</v>
      </c>
      <c r="C48" s="23">
        <v>1</v>
      </c>
      <c r="D48" s="22">
        <v>0</v>
      </c>
      <c r="E48" s="2">
        <v>4.3162589133925407E-2</v>
      </c>
      <c r="F48" s="2">
        <f t="shared" si="0"/>
        <v>4.3162589133925406</v>
      </c>
      <c r="G48" s="2">
        <f t="shared" si="1"/>
        <v>0</v>
      </c>
    </row>
    <row r="49" spans="1:7" x14ac:dyDescent="0.3">
      <c r="A49" s="23">
        <v>0</v>
      </c>
      <c r="B49" s="23">
        <v>0</v>
      </c>
      <c r="C49" s="23">
        <v>1</v>
      </c>
      <c r="D49" s="22">
        <v>0</v>
      </c>
      <c r="E49" s="2">
        <v>4.3162763721896813E-2</v>
      </c>
      <c r="F49" s="2">
        <f t="shared" si="0"/>
        <v>4.3162763721896811</v>
      </c>
      <c r="G49" s="2">
        <f t="shared" si="1"/>
        <v>0</v>
      </c>
    </row>
    <row r="50" spans="1:7" x14ac:dyDescent="0.3">
      <c r="A50" s="23">
        <v>0</v>
      </c>
      <c r="B50" s="23">
        <v>0</v>
      </c>
      <c r="C50" s="23">
        <v>0</v>
      </c>
      <c r="D50" s="22">
        <v>0</v>
      </c>
      <c r="E50" s="2">
        <v>0.5585152771803511</v>
      </c>
      <c r="F50" s="2">
        <f t="shared" si="0"/>
        <v>55.851527718035108</v>
      </c>
      <c r="G50" s="2">
        <f t="shared" si="1"/>
        <v>1</v>
      </c>
    </row>
    <row r="51" spans="1:7" x14ac:dyDescent="0.3">
      <c r="A51" s="23">
        <v>0</v>
      </c>
      <c r="B51" s="23">
        <v>0</v>
      </c>
      <c r="C51" s="23">
        <v>0</v>
      </c>
      <c r="D51" s="22">
        <v>1</v>
      </c>
      <c r="E51" s="2">
        <v>0.5585152771803511</v>
      </c>
      <c r="F51" s="2">
        <f t="shared" si="0"/>
        <v>55.851527718035108</v>
      </c>
      <c r="G51" s="2">
        <f t="shared" si="1"/>
        <v>1</v>
      </c>
    </row>
    <row r="52" spans="1:7" x14ac:dyDescent="0.3">
      <c r="A52" s="23">
        <v>0</v>
      </c>
      <c r="B52" s="23">
        <v>1</v>
      </c>
      <c r="C52" s="23">
        <v>1</v>
      </c>
      <c r="D52" s="22">
        <v>0</v>
      </c>
      <c r="E52" s="2">
        <v>4.3162614548656636E-2</v>
      </c>
      <c r="F52" s="2">
        <f t="shared" si="0"/>
        <v>4.3162614548656633</v>
      </c>
      <c r="G52" s="2">
        <f t="shared" si="1"/>
        <v>0</v>
      </c>
    </row>
    <row r="53" spans="1:7" x14ac:dyDescent="0.3">
      <c r="A53" s="23">
        <v>0</v>
      </c>
      <c r="B53" s="23">
        <v>1</v>
      </c>
      <c r="C53" s="23">
        <v>1</v>
      </c>
      <c r="D53" s="22">
        <v>0</v>
      </c>
      <c r="E53" s="2">
        <v>4.3162614548656636E-2</v>
      </c>
      <c r="F53" s="2">
        <f t="shared" si="0"/>
        <v>4.3162614548656633</v>
      </c>
      <c r="G53" s="2">
        <f t="shared" si="1"/>
        <v>0</v>
      </c>
    </row>
    <row r="54" spans="1:7" x14ac:dyDescent="0.3">
      <c r="A54" s="23">
        <v>0</v>
      </c>
      <c r="B54" s="23">
        <v>1</v>
      </c>
      <c r="C54" s="23">
        <v>0</v>
      </c>
      <c r="D54" s="22">
        <v>0</v>
      </c>
      <c r="E54" s="2">
        <v>9.5244484241092831E-2</v>
      </c>
      <c r="F54" s="2">
        <f t="shared" si="0"/>
        <v>9.5244484241092824</v>
      </c>
      <c r="G54" s="2">
        <f t="shared" si="1"/>
        <v>0</v>
      </c>
    </row>
    <row r="55" spans="1:7" x14ac:dyDescent="0.3">
      <c r="A55" s="23">
        <v>0</v>
      </c>
      <c r="B55" s="23">
        <v>0</v>
      </c>
      <c r="C55" s="23">
        <v>0</v>
      </c>
      <c r="D55" s="22">
        <v>1</v>
      </c>
      <c r="E55" s="2">
        <v>0.5585152771803511</v>
      </c>
      <c r="F55" s="2">
        <f t="shared" si="0"/>
        <v>55.851527718035108</v>
      </c>
      <c r="G55" s="2">
        <f t="shared" si="1"/>
        <v>1</v>
      </c>
    </row>
    <row r="56" spans="1:7" x14ac:dyDescent="0.3">
      <c r="A56" s="23">
        <v>0</v>
      </c>
      <c r="B56" s="23">
        <v>0</v>
      </c>
      <c r="C56" s="23">
        <v>1</v>
      </c>
      <c r="D56" s="22">
        <v>1</v>
      </c>
      <c r="E56" s="2">
        <v>4.3162763721896813E-2</v>
      </c>
      <c r="F56" s="2">
        <f t="shared" si="0"/>
        <v>4.3162763721896811</v>
      </c>
      <c r="G56" s="2">
        <f t="shared" si="1"/>
        <v>0</v>
      </c>
    </row>
    <row r="57" spans="1:7" x14ac:dyDescent="0.3">
      <c r="A57" s="23">
        <v>0</v>
      </c>
      <c r="B57" s="23">
        <v>1</v>
      </c>
      <c r="C57" s="23">
        <v>1</v>
      </c>
      <c r="D57" s="22">
        <v>1</v>
      </c>
      <c r="E57" s="2">
        <v>4.3162614548656636E-2</v>
      </c>
      <c r="F57" s="2">
        <f t="shared" si="0"/>
        <v>4.3162614548656633</v>
      </c>
      <c r="G57" s="2">
        <f t="shared" si="1"/>
        <v>0</v>
      </c>
    </row>
    <row r="58" spans="1:7" x14ac:dyDescent="0.3">
      <c r="A58" s="23">
        <v>0</v>
      </c>
      <c r="B58" s="23">
        <v>1</v>
      </c>
      <c r="C58" s="23">
        <v>0</v>
      </c>
      <c r="D58" s="22">
        <v>0</v>
      </c>
      <c r="E58" s="2">
        <v>9.5244484241092831E-2</v>
      </c>
      <c r="F58" s="2">
        <f t="shared" si="0"/>
        <v>9.5244484241092824</v>
      </c>
      <c r="G58" s="2">
        <f t="shared" si="1"/>
        <v>0</v>
      </c>
    </row>
    <row r="59" spans="1:7" x14ac:dyDescent="0.3">
      <c r="A59" s="23">
        <v>0</v>
      </c>
      <c r="B59" s="23">
        <v>1</v>
      </c>
      <c r="C59" s="23">
        <v>1</v>
      </c>
      <c r="D59" s="22">
        <v>0</v>
      </c>
      <c r="E59" s="2">
        <v>4.3162614548656636E-2</v>
      </c>
      <c r="F59" s="2">
        <f t="shared" si="0"/>
        <v>4.3162614548656633</v>
      </c>
      <c r="G59" s="2">
        <f t="shared" si="1"/>
        <v>0</v>
      </c>
    </row>
    <row r="60" spans="1:7" x14ac:dyDescent="0.3">
      <c r="A60" s="23">
        <v>0</v>
      </c>
      <c r="B60" s="23">
        <v>1</v>
      </c>
      <c r="C60" s="23">
        <v>0</v>
      </c>
      <c r="D60" s="22">
        <v>1</v>
      </c>
      <c r="E60" s="2">
        <v>9.5244484241092831E-2</v>
      </c>
      <c r="F60" s="2">
        <f t="shared" si="0"/>
        <v>9.5244484241092824</v>
      </c>
      <c r="G60" s="2">
        <f t="shared" si="1"/>
        <v>0</v>
      </c>
    </row>
    <row r="61" spans="1:7" x14ac:dyDescent="0.3">
      <c r="A61" s="23">
        <v>1</v>
      </c>
      <c r="B61" s="23">
        <v>0</v>
      </c>
      <c r="C61" s="23">
        <v>1</v>
      </c>
      <c r="D61" s="22">
        <v>1</v>
      </c>
      <c r="E61" s="2">
        <v>4.3162589133925407E-2</v>
      </c>
      <c r="F61" s="2">
        <f t="shared" si="0"/>
        <v>4.3162589133925406</v>
      </c>
      <c r="G61" s="2">
        <f t="shared" si="1"/>
        <v>0</v>
      </c>
    </row>
    <row r="62" spans="1:7" x14ac:dyDescent="0.3">
      <c r="A62" s="23">
        <v>0</v>
      </c>
      <c r="B62" s="23">
        <v>0</v>
      </c>
      <c r="C62" s="23">
        <v>0</v>
      </c>
      <c r="D62" s="22">
        <v>0</v>
      </c>
      <c r="E62" s="2">
        <v>0.5585152771803511</v>
      </c>
      <c r="F62" s="2">
        <f t="shared" si="0"/>
        <v>55.851527718035108</v>
      </c>
      <c r="G62" s="2">
        <f t="shared" si="1"/>
        <v>1</v>
      </c>
    </row>
    <row r="63" spans="1:7" x14ac:dyDescent="0.3">
      <c r="A63" s="23">
        <v>0</v>
      </c>
      <c r="B63" s="23">
        <v>0</v>
      </c>
      <c r="C63" s="23">
        <v>1</v>
      </c>
      <c r="D63" s="22">
        <v>1</v>
      </c>
      <c r="E63" s="2">
        <v>4.3162763721896813E-2</v>
      </c>
      <c r="F63" s="2">
        <f t="shared" si="0"/>
        <v>4.3162763721896811</v>
      </c>
      <c r="G63" s="2">
        <f t="shared" si="1"/>
        <v>0</v>
      </c>
    </row>
    <row r="64" spans="1:7" x14ac:dyDescent="0.3">
      <c r="A64" s="23">
        <v>0</v>
      </c>
      <c r="B64" s="23">
        <v>1</v>
      </c>
      <c r="C64" s="23">
        <v>1</v>
      </c>
      <c r="D64" s="22">
        <v>0</v>
      </c>
      <c r="E64" s="2">
        <v>4.3162614548656636E-2</v>
      </c>
      <c r="F64" s="2">
        <f t="shared" si="0"/>
        <v>4.3162614548656633</v>
      </c>
      <c r="G64" s="2">
        <f t="shared" si="1"/>
        <v>0</v>
      </c>
    </row>
    <row r="65" spans="1:7" x14ac:dyDescent="0.3">
      <c r="A65" s="23">
        <v>0</v>
      </c>
      <c r="B65" s="23">
        <v>1</v>
      </c>
      <c r="C65" s="23">
        <v>1</v>
      </c>
      <c r="D65" s="22">
        <v>1</v>
      </c>
      <c r="E65" s="2">
        <v>4.3162614548656636E-2</v>
      </c>
      <c r="F65" s="2">
        <f t="shared" si="0"/>
        <v>4.3162614548656633</v>
      </c>
      <c r="G65" s="2">
        <f t="shared" si="1"/>
        <v>0</v>
      </c>
    </row>
    <row r="66" spans="1:7" x14ac:dyDescent="0.3">
      <c r="A66" s="23">
        <v>0</v>
      </c>
      <c r="B66" s="23">
        <v>0</v>
      </c>
      <c r="C66" s="23">
        <v>0</v>
      </c>
      <c r="D66" s="22">
        <v>0</v>
      </c>
      <c r="E66" s="2">
        <v>0.5585152771803511</v>
      </c>
      <c r="F66" s="2">
        <f t="shared" si="0"/>
        <v>55.851527718035108</v>
      </c>
      <c r="G66" s="2">
        <f t="shared" si="1"/>
        <v>1</v>
      </c>
    </row>
    <row r="67" spans="1:7" x14ac:dyDescent="0.3">
      <c r="A67" s="23">
        <v>1</v>
      </c>
      <c r="B67" s="23">
        <v>0</v>
      </c>
      <c r="C67" s="23">
        <v>1</v>
      </c>
      <c r="D67" s="22">
        <v>1</v>
      </c>
      <c r="E67" s="2">
        <v>4.3162589133925407E-2</v>
      </c>
      <c r="F67" s="2">
        <f t="shared" ref="F67:F130" si="2">E67*100</f>
        <v>4.3162589133925406</v>
      </c>
      <c r="G67" s="2">
        <f t="shared" ref="G67:G130" si="3">IF(F67&gt;50, 1, 0)</f>
        <v>0</v>
      </c>
    </row>
    <row r="68" spans="1:7" x14ac:dyDescent="0.3">
      <c r="A68" s="23">
        <v>0</v>
      </c>
      <c r="B68" s="23">
        <v>0</v>
      </c>
      <c r="C68" s="23">
        <v>0</v>
      </c>
      <c r="D68" s="22">
        <v>0</v>
      </c>
      <c r="E68" s="2">
        <v>0.5585152771803511</v>
      </c>
      <c r="F68" s="2">
        <f t="shared" si="2"/>
        <v>55.851527718035108</v>
      </c>
      <c r="G68" s="2">
        <f t="shared" si="3"/>
        <v>1</v>
      </c>
    </row>
    <row r="69" spans="1:7" x14ac:dyDescent="0.3">
      <c r="A69" s="23">
        <v>0</v>
      </c>
      <c r="B69" s="23">
        <v>1</v>
      </c>
      <c r="C69" s="23">
        <v>0</v>
      </c>
      <c r="D69" s="22">
        <v>1</v>
      </c>
      <c r="E69" s="2">
        <v>9.5244484241092831E-2</v>
      </c>
      <c r="F69" s="2">
        <f t="shared" si="2"/>
        <v>9.5244484241092824</v>
      </c>
      <c r="G69" s="2">
        <f t="shared" si="3"/>
        <v>0</v>
      </c>
    </row>
    <row r="70" spans="1:7" x14ac:dyDescent="0.3">
      <c r="A70" s="23">
        <v>0</v>
      </c>
      <c r="B70" s="23">
        <v>1</v>
      </c>
      <c r="C70" s="23">
        <v>1</v>
      </c>
      <c r="D70" s="22">
        <v>1</v>
      </c>
      <c r="E70" s="2">
        <v>4.3162614548656636E-2</v>
      </c>
      <c r="F70" s="2">
        <f t="shared" si="2"/>
        <v>4.3162614548656633</v>
      </c>
      <c r="G70" s="2">
        <f t="shared" si="3"/>
        <v>0</v>
      </c>
    </row>
    <row r="71" spans="1:7" x14ac:dyDescent="0.3">
      <c r="A71" s="23">
        <v>0</v>
      </c>
      <c r="B71" s="23">
        <v>0</v>
      </c>
      <c r="C71" s="23">
        <v>1</v>
      </c>
      <c r="D71" s="22">
        <v>0</v>
      </c>
      <c r="E71" s="2">
        <v>4.3162763721896813E-2</v>
      </c>
      <c r="F71" s="2">
        <f t="shared" si="2"/>
        <v>4.3162763721896811</v>
      </c>
      <c r="G71" s="2">
        <f t="shared" si="3"/>
        <v>0</v>
      </c>
    </row>
    <row r="72" spans="1:7" x14ac:dyDescent="0.3">
      <c r="A72" s="23">
        <v>0</v>
      </c>
      <c r="B72" s="23">
        <v>1</v>
      </c>
      <c r="C72" s="23">
        <v>0</v>
      </c>
      <c r="D72" s="22">
        <v>0</v>
      </c>
      <c r="E72" s="2">
        <v>9.5244484241092831E-2</v>
      </c>
      <c r="F72" s="2">
        <f t="shared" si="2"/>
        <v>9.5244484241092824</v>
      </c>
      <c r="G72" s="2">
        <f t="shared" si="3"/>
        <v>0</v>
      </c>
    </row>
    <row r="73" spans="1:7" x14ac:dyDescent="0.3">
      <c r="A73" s="23">
        <v>0</v>
      </c>
      <c r="B73" s="23">
        <v>1</v>
      </c>
      <c r="C73" s="23">
        <v>0</v>
      </c>
      <c r="D73" s="22">
        <v>1</v>
      </c>
      <c r="E73" s="2">
        <v>9.5244484241092831E-2</v>
      </c>
      <c r="F73" s="2">
        <f t="shared" si="2"/>
        <v>9.5244484241092824</v>
      </c>
      <c r="G73" s="2">
        <f t="shared" si="3"/>
        <v>0</v>
      </c>
    </row>
    <row r="74" spans="1:7" x14ac:dyDescent="0.3">
      <c r="A74" s="23">
        <v>1</v>
      </c>
      <c r="B74" s="23">
        <v>0</v>
      </c>
      <c r="C74" s="23">
        <v>1</v>
      </c>
      <c r="D74" s="22">
        <v>1</v>
      </c>
      <c r="E74" s="2">
        <v>4.3162589133925407E-2</v>
      </c>
      <c r="F74" s="2">
        <f t="shared" si="2"/>
        <v>4.3162589133925406</v>
      </c>
      <c r="G74" s="2">
        <f t="shared" si="3"/>
        <v>0</v>
      </c>
    </row>
    <row r="75" spans="1:7" x14ac:dyDescent="0.3">
      <c r="A75" s="23">
        <v>0</v>
      </c>
      <c r="B75" s="23">
        <v>0</v>
      </c>
      <c r="C75" s="23">
        <v>0</v>
      </c>
      <c r="D75" s="22">
        <v>1</v>
      </c>
      <c r="E75" s="2">
        <v>0.5585152771803511</v>
      </c>
      <c r="F75" s="2">
        <f t="shared" si="2"/>
        <v>55.851527718035108</v>
      </c>
      <c r="G75" s="2">
        <f t="shared" si="3"/>
        <v>1</v>
      </c>
    </row>
    <row r="76" spans="1:7" x14ac:dyDescent="0.3">
      <c r="A76" s="23">
        <v>0</v>
      </c>
      <c r="B76" s="23">
        <v>0</v>
      </c>
      <c r="C76" s="23">
        <v>1</v>
      </c>
      <c r="D76" s="22">
        <v>1</v>
      </c>
      <c r="E76" s="2">
        <v>4.3162763721896813E-2</v>
      </c>
      <c r="F76" s="2">
        <f t="shared" si="2"/>
        <v>4.3162763721896811</v>
      </c>
      <c r="G76" s="2">
        <f t="shared" si="3"/>
        <v>0</v>
      </c>
    </row>
    <row r="77" spans="1:7" x14ac:dyDescent="0.3">
      <c r="A77" s="23">
        <v>1</v>
      </c>
      <c r="B77" s="23">
        <v>0</v>
      </c>
      <c r="C77" s="23">
        <v>1</v>
      </c>
      <c r="D77" s="22">
        <v>1</v>
      </c>
      <c r="E77" s="2">
        <v>4.3162589133925407E-2</v>
      </c>
      <c r="F77" s="2">
        <f t="shared" si="2"/>
        <v>4.3162589133925406</v>
      </c>
      <c r="G77" s="2">
        <f t="shared" si="3"/>
        <v>0</v>
      </c>
    </row>
    <row r="78" spans="1:7" x14ac:dyDescent="0.3">
      <c r="A78" s="23">
        <v>0</v>
      </c>
      <c r="B78" s="23">
        <v>1</v>
      </c>
      <c r="C78" s="23">
        <v>0</v>
      </c>
      <c r="D78" s="22">
        <v>0</v>
      </c>
      <c r="E78" s="2">
        <v>9.5244484241092831E-2</v>
      </c>
      <c r="F78" s="2">
        <f t="shared" si="2"/>
        <v>9.5244484241092824</v>
      </c>
      <c r="G78" s="2">
        <f t="shared" si="3"/>
        <v>0</v>
      </c>
    </row>
    <row r="79" spans="1:7" x14ac:dyDescent="0.3">
      <c r="A79" s="23">
        <v>0</v>
      </c>
      <c r="B79" s="23">
        <v>0</v>
      </c>
      <c r="C79" s="23">
        <v>0</v>
      </c>
      <c r="D79" s="22">
        <v>0</v>
      </c>
      <c r="E79" s="2">
        <v>0.5585152771803511</v>
      </c>
      <c r="F79" s="2">
        <f t="shared" si="2"/>
        <v>55.851527718035108</v>
      </c>
      <c r="G79" s="2">
        <f t="shared" si="3"/>
        <v>1</v>
      </c>
    </row>
    <row r="80" spans="1:7" x14ac:dyDescent="0.3">
      <c r="A80" s="23">
        <v>0</v>
      </c>
      <c r="B80" s="23">
        <v>1</v>
      </c>
      <c r="C80" s="23">
        <v>0</v>
      </c>
      <c r="D80" s="22">
        <v>1</v>
      </c>
      <c r="E80" s="2">
        <v>9.5244484241092831E-2</v>
      </c>
      <c r="F80" s="2">
        <f t="shared" si="2"/>
        <v>9.5244484241092824</v>
      </c>
      <c r="G80" s="2">
        <f t="shared" si="3"/>
        <v>0</v>
      </c>
    </row>
    <row r="81" spans="1:7" x14ac:dyDescent="0.3">
      <c r="A81" s="23">
        <v>0</v>
      </c>
      <c r="B81" s="23">
        <v>0</v>
      </c>
      <c r="C81" s="23">
        <v>1</v>
      </c>
      <c r="D81" s="22">
        <v>0</v>
      </c>
      <c r="E81" s="2">
        <v>4.3162763721896813E-2</v>
      </c>
      <c r="F81" s="2">
        <f t="shared" si="2"/>
        <v>4.3162763721896811</v>
      </c>
      <c r="G81" s="2">
        <f t="shared" si="3"/>
        <v>0</v>
      </c>
    </row>
    <row r="82" spans="1:7" x14ac:dyDescent="0.3">
      <c r="A82" s="23">
        <v>0</v>
      </c>
      <c r="B82" s="23">
        <v>0</v>
      </c>
      <c r="C82" s="23">
        <v>0</v>
      </c>
      <c r="D82" s="22">
        <v>1</v>
      </c>
      <c r="E82" s="2">
        <v>0.5585152771803511</v>
      </c>
      <c r="F82" s="2">
        <f t="shared" si="2"/>
        <v>55.851527718035108</v>
      </c>
      <c r="G82" s="2">
        <f t="shared" si="3"/>
        <v>1</v>
      </c>
    </row>
    <row r="83" spans="1:7" x14ac:dyDescent="0.3">
      <c r="A83" s="23">
        <v>0</v>
      </c>
      <c r="B83" s="23">
        <v>1</v>
      </c>
      <c r="C83" s="23">
        <v>1</v>
      </c>
      <c r="D83" s="22">
        <v>0</v>
      </c>
      <c r="E83" s="2">
        <v>4.3162614548656636E-2</v>
      </c>
      <c r="F83" s="2">
        <f t="shared" si="2"/>
        <v>4.3162614548656633</v>
      </c>
      <c r="G83" s="2">
        <f t="shared" si="3"/>
        <v>0</v>
      </c>
    </row>
    <row r="84" spans="1:7" x14ac:dyDescent="0.3">
      <c r="A84" s="23">
        <v>1</v>
      </c>
      <c r="B84" s="23">
        <v>0</v>
      </c>
      <c r="C84" s="23">
        <v>0</v>
      </c>
      <c r="D84" s="22">
        <v>1</v>
      </c>
      <c r="E84" s="2">
        <v>4.3173789458881028E-2</v>
      </c>
      <c r="F84" s="2">
        <f t="shared" si="2"/>
        <v>4.3173789458881027</v>
      </c>
      <c r="G84" s="2">
        <f t="shared" si="3"/>
        <v>0</v>
      </c>
    </row>
    <row r="85" spans="1:7" x14ac:dyDescent="0.3">
      <c r="A85" s="23">
        <v>1</v>
      </c>
      <c r="B85" s="23">
        <v>0</v>
      </c>
      <c r="C85" s="23">
        <v>0</v>
      </c>
      <c r="D85" s="22">
        <v>0</v>
      </c>
      <c r="E85" s="2">
        <v>4.3173789458881028E-2</v>
      </c>
      <c r="F85" s="2">
        <f t="shared" si="2"/>
        <v>4.3173789458881027</v>
      </c>
      <c r="G85" s="2">
        <f t="shared" si="3"/>
        <v>0</v>
      </c>
    </row>
    <row r="86" spans="1:7" x14ac:dyDescent="0.3">
      <c r="A86" s="23">
        <v>0</v>
      </c>
      <c r="B86" s="23">
        <v>0</v>
      </c>
      <c r="C86" s="23">
        <v>1</v>
      </c>
      <c r="D86" s="22">
        <v>0</v>
      </c>
      <c r="E86" s="2">
        <v>4.3162763721896813E-2</v>
      </c>
      <c r="F86" s="2">
        <f t="shared" si="2"/>
        <v>4.3162763721896811</v>
      </c>
      <c r="G86" s="2">
        <f t="shared" si="3"/>
        <v>0</v>
      </c>
    </row>
    <row r="87" spans="1:7" x14ac:dyDescent="0.3">
      <c r="A87" s="23">
        <v>0</v>
      </c>
      <c r="B87" s="23">
        <v>0</v>
      </c>
      <c r="C87" s="23">
        <v>0</v>
      </c>
      <c r="D87" s="22">
        <v>1</v>
      </c>
      <c r="E87" s="2">
        <v>0.5585152771803511</v>
      </c>
      <c r="F87" s="2">
        <f t="shared" si="2"/>
        <v>55.851527718035108</v>
      </c>
      <c r="G87" s="2">
        <f t="shared" si="3"/>
        <v>1</v>
      </c>
    </row>
    <row r="88" spans="1:7" x14ac:dyDescent="0.3">
      <c r="A88" s="23">
        <v>0</v>
      </c>
      <c r="B88" s="23">
        <v>0</v>
      </c>
      <c r="C88" s="23">
        <v>1</v>
      </c>
      <c r="D88" s="22">
        <v>0</v>
      </c>
      <c r="E88" s="2">
        <v>4.3162763721896813E-2</v>
      </c>
      <c r="F88" s="2">
        <f t="shared" si="2"/>
        <v>4.3162763721896811</v>
      </c>
      <c r="G88" s="2">
        <f t="shared" si="3"/>
        <v>0</v>
      </c>
    </row>
    <row r="89" spans="1:7" x14ac:dyDescent="0.3">
      <c r="A89" s="23">
        <v>1</v>
      </c>
      <c r="B89" s="23">
        <v>0</v>
      </c>
      <c r="C89" s="23">
        <v>1</v>
      </c>
      <c r="D89" s="22">
        <v>0</v>
      </c>
      <c r="E89" s="2">
        <v>4.3162589133925407E-2</v>
      </c>
      <c r="F89" s="2">
        <f t="shared" si="2"/>
        <v>4.3162589133925406</v>
      </c>
      <c r="G89" s="2">
        <f t="shared" si="3"/>
        <v>0</v>
      </c>
    </row>
    <row r="90" spans="1:7" x14ac:dyDescent="0.3">
      <c r="A90" s="23">
        <v>0</v>
      </c>
      <c r="B90" s="23">
        <v>1</v>
      </c>
      <c r="C90" s="23">
        <v>1</v>
      </c>
      <c r="D90" s="22">
        <v>0</v>
      </c>
      <c r="E90" s="2">
        <v>4.3162614548656636E-2</v>
      </c>
      <c r="F90" s="2">
        <f t="shared" si="2"/>
        <v>4.3162614548656633</v>
      </c>
      <c r="G90" s="2">
        <f t="shared" si="3"/>
        <v>0</v>
      </c>
    </row>
    <row r="91" spans="1:7" x14ac:dyDescent="0.3">
      <c r="A91" s="23">
        <v>0</v>
      </c>
      <c r="B91" s="23">
        <v>0</v>
      </c>
      <c r="C91" s="23">
        <v>1</v>
      </c>
      <c r="D91" s="22">
        <v>0</v>
      </c>
      <c r="E91" s="2">
        <v>4.3162763721896813E-2</v>
      </c>
      <c r="F91" s="2">
        <f t="shared" si="2"/>
        <v>4.3162763721896811</v>
      </c>
      <c r="G91" s="2">
        <f t="shared" si="3"/>
        <v>0</v>
      </c>
    </row>
    <row r="92" spans="1:7" x14ac:dyDescent="0.3">
      <c r="A92" s="23">
        <v>0</v>
      </c>
      <c r="B92" s="23">
        <v>0</v>
      </c>
      <c r="C92" s="23">
        <v>1</v>
      </c>
      <c r="D92" s="22">
        <v>1</v>
      </c>
      <c r="E92" s="2">
        <v>4.3162763721896813E-2</v>
      </c>
      <c r="F92" s="2">
        <f t="shared" si="2"/>
        <v>4.3162763721896811</v>
      </c>
      <c r="G92" s="2">
        <f t="shared" si="3"/>
        <v>0</v>
      </c>
    </row>
    <row r="93" spans="1:7" x14ac:dyDescent="0.3">
      <c r="A93" s="23">
        <v>1</v>
      </c>
      <c r="B93" s="23">
        <v>0</v>
      </c>
      <c r="C93" s="23">
        <v>1</v>
      </c>
      <c r="D93" s="22">
        <v>1</v>
      </c>
      <c r="E93" s="2">
        <v>4.3162589133925407E-2</v>
      </c>
      <c r="F93" s="2">
        <f t="shared" si="2"/>
        <v>4.3162589133925406</v>
      </c>
      <c r="G93" s="2">
        <f t="shared" si="3"/>
        <v>0</v>
      </c>
    </row>
    <row r="94" spans="1:7" x14ac:dyDescent="0.3">
      <c r="A94" s="23">
        <v>0</v>
      </c>
      <c r="B94" s="23">
        <v>0</v>
      </c>
      <c r="C94" s="23">
        <v>0</v>
      </c>
      <c r="D94" s="22">
        <v>1</v>
      </c>
      <c r="E94" s="2">
        <v>0.5585152771803511</v>
      </c>
      <c r="F94" s="2">
        <f t="shared" si="2"/>
        <v>55.851527718035108</v>
      </c>
      <c r="G94" s="2">
        <f t="shared" si="3"/>
        <v>1</v>
      </c>
    </row>
    <row r="95" spans="1:7" x14ac:dyDescent="0.3">
      <c r="A95" s="23">
        <v>0</v>
      </c>
      <c r="B95" s="23">
        <v>0</v>
      </c>
      <c r="C95" s="23">
        <v>1</v>
      </c>
      <c r="D95" s="22">
        <v>0</v>
      </c>
      <c r="E95" s="2">
        <v>4.3162763721896813E-2</v>
      </c>
      <c r="F95" s="2">
        <f t="shared" si="2"/>
        <v>4.3162763721896811</v>
      </c>
      <c r="G95" s="2">
        <f t="shared" si="3"/>
        <v>0</v>
      </c>
    </row>
    <row r="96" spans="1:7" x14ac:dyDescent="0.3">
      <c r="A96" s="23">
        <v>0</v>
      </c>
      <c r="B96" s="23">
        <v>1</v>
      </c>
      <c r="C96" s="23">
        <v>0</v>
      </c>
      <c r="D96" s="22">
        <v>1</v>
      </c>
      <c r="E96" s="2">
        <v>9.5244484241092831E-2</v>
      </c>
      <c r="F96" s="2">
        <f t="shared" si="2"/>
        <v>9.5244484241092824</v>
      </c>
      <c r="G96" s="2">
        <f t="shared" si="3"/>
        <v>0</v>
      </c>
    </row>
    <row r="97" spans="1:7" x14ac:dyDescent="0.3">
      <c r="A97" s="23">
        <v>0</v>
      </c>
      <c r="B97" s="23">
        <v>1</v>
      </c>
      <c r="C97" s="23">
        <v>1</v>
      </c>
      <c r="D97" s="22">
        <v>0</v>
      </c>
      <c r="E97" s="2">
        <v>4.3162614548656636E-2</v>
      </c>
      <c r="F97" s="2">
        <f t="shared" si="2"/>
        <v>4.3162614548656633</v>
      </c>
      <c r="G97" s="2">
        <f t="shared" si="3"/>
        <v>0</v>
      </c>
    </row>
    <row r="98" spans="1:7" x14ac:dyDescent="0.3">
      <c r="A98" s="23">
        <v>1</v>
      </c>
      <c r="B98" s="23">
        <v>0</v>
      </c>
      <c r="C98" s="23">
        <v>1</v>
      </c>
      <c r="D98" s="22">
        <v>1</v>
      </c>
      <c r="E98" s="2">
        <v>4.3162589133925407E-2</v>
      </c>
      <c r="F98" s="2">
        <f t="shared" si="2"/>
        <v>4.3162589133925406</v>
      </c>
      <c r="G98" s="2">
        <f t="shared" si="3"/>
        <v>0</v>
      </c>
    </row>
    <row r="99" spans="1:7" x14ac:dyDescent="0.3">
      <c r="A99" s="23">
        <v>0</v>
      </c>
      <c r="B99" s="23">
        <v>1</v>
      </c>
      <c r="C99" s="23">
        <v>1</v>
      </c>
      <c r="D99" s="22">
        <v>1</v>
      </c>
      <c r="E99" s="2">
        <v>4.3162614548656636E-2</v>
      </c>
      <c r="F99" s="2">
        <f t="shared" si="2"/>
        <v>4.3162614548656633</v>
      </c>
      <c r="G99" s="2">
        <f t="shared" si="3"/>
        <v>0</v>
      </c>
    </row>
    <row r="100" spans="1:7" x14ac:dyDescent="0.3">
      <c r="A100" s="23">
        <v>0</v>
      </c>
      <c r="B100" s="23">
        <v>0</v>
      </c>
      <c r="C100" s="23">
        <v>1</v>
      </c>
      <c r="D100" s="22">
        <v>1</v>
      </c>
      <c r="E100" s="2">
        <v>4.3162763721896813E-2</v>
      </c>
      <c r="F100" s="2">
        <f t="shared" si="2"/>
        <v>4.3162763721896811</v>
      </c>
      <c r="G100" s="2">
        <f t="shared" si="3"/>
        <v>0</v>
      </c>
    </row>
    <row r="101" spans="1:7" x14ac:dyDescent="0.3">
      <c r="A101" s="23">
        <v>1</v>
      </c>
      <c r="B101" s="23">
        <v>0</v>
      </c>
      <c r="C101" s="23">
        <v>1</v>
      </c>
      <c r="D101" s="22">
        <v>0</v>
      </c>
      <c r="E101" s="2">
        <v>4.3162589133925407E-2</v>
      </c>
      <c r="F101" s="2">
        <f t="shared" si="2"/>
        <v>4.3162589133925406</v>
      </c>
      <c r="G101" s="2">
        <f t="shared" si="3"/>
        <v>0</v>
      </c>
    </row>
    <row r="102" spans="1:7" x14ac:dyDescent="0.3">
      <c r="A102" s="23">
        <v>0</v>
      </c>
      <c r="B102" s="23">
        <v>0</v>
      </c>
      <c r="C102" s="23">
        <v>1</v>
      </c>
      <c r="D102" s="22">
        <v>1</v>
      </c>
      <c r="E102" s="2">
        <v>4.3162763721896813E-2</v>
      </c>
      <c r="F102" s="2">
        <f t="shared" si="2"/>
        <v>4.3162763721896811</v>
      </c>
      <c r="G102" s="2">
        <f t="shared" si="3"/>
        <v>0</v>
      </c>
    </row>
    <row r="103" spans="1:7" x14ac:dyDescent="0.3">
      <c r="A103" s="23">
        <v>0</v>
      </c>
      <c r="B103" s="23">
        <v>0</v>
      </c>
      <c r="C103" s="23">
        <v>0</v>
      </c>
      <c r="D103" s="22">
        <v>0</v>
      </c>
      <c r="E103" s="2">
        <v>0.5585152771803511</v>
      </c>
      <c r="F103" s="2">
        <f t="shared" si="2"/>
        <v>55.851527718035108</v>
      </c>
      <c r="G103" s="2">
        <f t="shared" si="3"/>
        <v>1</v>
      </c>
    </row>
    <row r="104" spans="1:7" x14ac:dyDescent="0.3">
      <c r="A104" s="23">
        <v>0</v>
      </c>
      <c r="B104" s="23">
        <v>0</v>
      </c>
      <c r="C104" s="23">
        <v>1</v>
      </c>
      <c r="D104" s="22">
        <v>0</v>
      </c>
      <c r="E104" s="2">
        <v>4.3162763721896813E-2</v>
      </c>
      <c r="F104" s="2">
        <f t="shared" si="2"/>
        <v>4.3162763721896811</v>
      </c>
      <c r="G104" s="2">
        <f t="shared" si="3"/>
        <v>0</v>
      </c>
    </row>
    <row r="105" spans="1:7" x14ac:dyDescent="0.3">
      <c r="A105" s="23">
        <v>0</v>
      </c>
      <c r="B105" s="23">
        <v>1</v>
      </c>
      <c r="C105" s="23">
        <v>0</v>
      </c>
      <c r="D105" s="22">
        <v>0</v>
      </c>
      <c r="E105" s="2">
        <v>9.5244484241092831E-2</v>
      </c>
      <c r="F105" s="2">
        <f t="shared" si="2"/>
        <v>9.5244484241092824</v>
      </c>
      <c r="G105" s="2">
        <f t="shared" si="3"/>
        <v>0</v>
      </c>
    </row>
    <row r="106" spans="1:7" x14ac:dyDescent="0.3">
      <c r="A106" s="23">
        <v>0</v>
      </c>
      <c r="B106" s="23">
        <v>0</v>
      </c>
      <c r="C106" s="23">
        <v>0</v>
      </c>
      <c r="D106" s="22">
        <v>0</v>
      </c>
      <c r="E106" s="2">
        <v>0.5585152771803511</v>
      </c>
      <c r="F106" s="2">
        <f t="shared" si="2"/>
        <v>55.851527718035108</v>
      </c>
      <c r="G106" s="2">
        <f t="shared" si="3"/>
        <v>1</v>
      </c>
    </row>
    <row r="107" spans="1:7" x14ac:dyDescent="0.3">
      <c r="A107" s="23">
        <v>0</v>
      </c>
      <c r="B107" s="23">
        <v>1</v>
      </c>
      <c r="C107" s="23">
        <v>1</v>
      </c>
      <c r="D107" s="22">
        <v>0</v>
      </c>
      <c r="E107" s="2">
        <v>4.3162614548656636E-2</v>
      </c>
      <c r="F107" s="2">
        <f t="shared" si="2"/>
        <v>4.3162614548656633</v>
      </c>
      <c r="G107" s="2">
        <f t="shared" si="3"/>
        <v>0</v>
      </c>
    </row>
    <row r="108" spans="1:7" x14ac:dyDescent="0.3">
      <c r="A108" s="23">
        <v>1</v>
      </c>
      <c r="B108" s="23">
        <v>0</v>
      </c>
      <c r="C108" s="23">
        <v>0</v>
      </c>
      <c r="D108" s="22">
        <v>0</v>
      </c>
      <c r="E108" s="2">
        <v>4.3173789458881028E-2</v>
      </c>
      <c r="F108" s="2">
        <f t="shared" si="2"/>
        <v>4.3173789458881027</v>
      </c>
      <c r="G108" s="2">
        <f t="shared" si="3"/>
        <v>0</v>
      </c>
    </row>
    <row r="109" spans="1:7" x14ac:dyDescent="0.3">
      <c r="A109" s="23">
        <v>1</v>
      </c>
      <c r="B109" s="23">
        <v>0</v>
      </c>
      <c r="C109" s="23">
        <v>1</v>
      </c>
      <c r="D109" s="22">
        <v>0</v>
      </c>
      <c r="E109" s="2">
        <v>4.3162589133925407E-2</v>
      </c>
      <c r="F109" s="2">
        <f t="shared" si="2"/>
        <v>4.3162589133925406</v>
      </c>
      <c r="G109" s="2">
        <f t="shared" si="3"/>
        <v>0</v>
      </c>
    </row>
    <row r="110" spans="1:7" x14ac:dyDescent="0.3">
      <c r="A110" s="23">
        <v>0</v>
      </c>
      <c r="B110" s="23">
        <v>0</v>
      </c>
      <c r="C110" s="23">
        <v>0</v>
      </c>
      <c r="D110" s="22">
        <v>0</v>
      </c>
      <c r="E110" s="2">
        <v>0.5585152771803511</v>
      </c>
      <c r="F110" s="2">
        <f t="shared" si="2"/>
        <v>55.851527718035108</v>
      </c>
      <c r="G110" s="2">
        <f t="shared" si="3"/>
        <v>1</v>
      </c>
    </row>
    <row r="111" spans="1:7" x14ac:dyDescent="0.3">
      <c r="A111" s="23">
        <v>0</v>
      </c>
      <c r="B111" s="23">
        <v>1</v>
      </c>
      <c r="C111" s="23">
        <v>1</v>
      </c>
      <c r="D111" s="22">
        <v>0</v>
      </c>
      <c r="E111" s="2">
        <v>4.3162614548656636E-2</v>
      </c>
      <c r="F111" s="2">
        <f t="shared" si="2"/>
        <v>4.3162614548656633</v>
      </c>
      <c r="G111" s="2">
        <f t="shared" si="3"/>
        <v>0</v>
      </c>
    </row>
    <row r="112" spans="1:7" x14ac:dyDescent="0.3">
      <c r="A112" s="23">
        <v>0</v>
      </c>
      <c r="B112" s="23">
        <v>0</v>
      </c>
      <c r="C112" s="23">
        <v>1</v>
      </c>
      <c r="D112" s="22">
        <v>1</v>
      </c>
      <c r="E112" s="2">
        <v>4.3162763721896813E-2</v>
      </c>
      <c r="F112" s="2">
        <f t="shared" si="2"/>
        <v>4.3162763721896811</v>
      </c>
      <c r="G112" s="2">
        <f t="shared" si="3"/>
        <v>0</v>
      </c>
    </row>
    <row r="113" spans="1:7" x14ac:dyDescent="0.3">
      <c r="A113" s="23">
        <v>0</v>
      </c>
      <c r="B113" s="23">
        <v>0</v>
      </c>
      <c r="C113" s="23">
        <v>0</v>
      </c>
      <c r="D113" s="22">
        <v>0</v>
      </c>
      <c r="E113" s="2">
        <v>0.5585152771803511</v>
      </c>
      <c r="F113" s="2">
        <f t="shared" si="2"/>
        <v>55.851527718035108</v>
      </c>
      <c r="G113" s="2">
        <f t="shared" si="3"/>
        <v>1</v>
      </c>
    </row>
    <row r="114" spans="1:7" x14ac:dyDescent="0.3">
      <c r="A114" s="23">
        <v>0</v>
      </c>
      <c r="B114" s="23">
        <v>0</v>
      </c>
      <c r="C114" s="23">
        <v>1</v>
      </c>
      <c r="D114" s="22">
        <v>0</v>
      </c>
      <c r="E114" s="2">
        <v>4.3162763721896813E-2</v>
      </c>
      <c r="F114" s="2">
        <f t="shared" si="2"/>
        <v>4.3162763721896811</v>
      </c>
      <c r="G114" s="2">
        <f t="shared" si="3"/>
        <v>0</v>
      </c>
    </row>
    <row r="115" spans="1:7" x14ac:dyDescent="0.3">
      <c r="A115" s="23">
        <v>0</v>
      </c>
      <c r="B115" s="23">
        <v>0</v>
      </c>
      <c r="C115" s="23">
        <v>1</v>
      </c>
      <c r="D115" s="22">
        <v>1</v>
      </c>
      <c r="E115" s="2">
        <v>4.3162763721896813E-2</v>
      </c>
      <c r="F115" s="2">
        <f t="shared" si="2"/>
        <v>4.3162763721896811</v>
      </c>
      <c r="G115" s="2">
        <f t="shared" si="3"/>
        <v>0</v>
      </c>
    </row>
    <row r="116" spans="1:7" x14ac:dyDescent="0.3">
      <c r="A116" s="23">
        <v>0</v>
      </c>
      <c r="B116" s="23">
        <v>0</v>
      </c>
      <c r="C116" s="23">
        <v>1</v>
      </c>
      <c r="D116" s="22">
        <v>0</v>
      </c>
      <c r="E116" s="2">
        <v>4.3162763721896813E-2</v>
      </c>
      <c r="F116" s="2">
        <f t="shared" si="2"/>
        <v>4.3162763721896811</v>
      </c>
      <c r="G116" s="2">
        <f t="shared" si="3"/>
        <v>0</v>
      </c>
    </row>
    <row r="117" spans="1:7" x14ac:dyDescent="0.3">
      <c r="A117" s="23">
        <v>1</v>
      </c>
      <c r="B117" s="23">
        <v>0</v>
      </c>
      <c r="C117" s="23">
        <v>0</v>
      </c>
      <c r="D117" s="22">
        <v>0</v>
      </c>
      <c r="E117" s="2">
        <v>4.3173789458881028E-2</v>
      </c>
      <c r="F117" s="2">
        <f t="shared" si="2"/>
        <v>4.3173789458881027</v>
      </c>
      <c r="G117" s="2">
        <f t="shared" si="3"/>
        <v>0</v>
      </c>
    </row>
    <row r="118" spans="1:7" x14ac:dyDescent="0.3">
      <c r="A118" s="23">
        <v>1</v>
      </c>
      <c r="B118" s="23">
        <v>0</v>
      </c>
      <c r="C118" s="23">
        <v>0</v>
      </c>
      <c r="D118" s="22">
        <v>0</v>
      </c>
      <c r="E118" s="2">
        <v>4.3173789458881028E-2</v>
      </c>
      <c r="F118" s="2">
        <f t="shared" si="2"/>
        <v>4.3173789458881027</v>
      </c>
      <c r="G118" s="2">
        <f t="shared" si="3"/>
        <v>0</v>
      </c>
    </row>
    <row r="119" spans="1:7" x14ac:dyDescent="0.3">
      <c r="A119" s="23">
        <v>0</v>
      </c>
      <c r="B119" s="23">
        <v>1</v>
      </c>
      <c r="C119" s="23">
        <v>1</v>
      </c>
      <c r="D119" s="22">
        <v>0</v>
      </c>
      <c r="E119" s="2">
        <v>4.3162614548656636E-2</v>
      </c>
      <c r="F119" s="2">
        <f t="shared" si="2"/>
        <v>4.3162614548656633</v>
      </c>
      <c r="G119" s="2">
        <f t="shared" si="3"/>
        <v>0</v>
      </c>
    </row>
    <row r="120" spans="1:7" x14ac:dyDescent="0.3">
      <c r="A120" s="23">
        <v>0</v>
      </c>
      <c r="B120" s="23">
        <v>1</v>
      </c>
      <c r="C120" s="23">
        <v>0</v>
      </c>
      <c r="D120" s="22">
        <v>0</v>
      </c>
      <c r="E120" s="2">
        <v>9.5244484241092831E-2</v>
      </c>
      <c r="F120" s="2">
        <f t="shared" si="2"/>
        <v>9.5244484241092824</v>
      </c>
      <c r="G120" s="2">
        <f t="shared" si="3"/>
        <v>0</v>
      </c>
    </row>
    <row r="121" spans="1:7" x14ac:dyDescent="0.3">
      <c r="A121" s="23">
        <v>0</v>
      </c>
      <c r="B121" s="23">
        <v>1</v>
      </c>
      <c r="C121" s="23">
        <v>1</v>
      </c>
      <c r="D121" s="22">
        <v>0</v>
      </c>
      <c r="E121" s="2">
        <v>4.3162614548656636E-2</v>
      </c>
      <c r="F121" s="2">
        <f t="shared" si="2"/>
        <v>4.3162614548656633</v>
      </c>
      <c r="G121" s="2">
        <f t="shared" si="3"/>
        <v>0</v>
      </c>
    </row>
    <row r="122" spans="1:7" x14ac:dyDescent="0.3">
      <c r="A122" s="23">
        <v>0</v>
      </c>
      <c r="B122" s="23">
        <v>1</v>
      </c>
      <c r="C122" s="23">
        <v>0</v>
      </c>
      <c r="D122" s="22">
        <v>1</v>
      </c>
      <c r="E122" s="2">
        <v>9.5244484241092831E-2</v>
      </c>
      <c r="F122" s="2">
        <f t="shared" si="2"/>
        <v>9.5244484241092824</v>
      </c>
      <c r="G122" s="2">
        <f t="shared" si="3"/>
        <v>0</v>
      </c>
    </row>
    <row r="123" spans="1:7" x14ac:dyDescent="0.3">
      <c r="A123" s="23">
        <v>1</v>
      </c>
      <c r="B123" s="23">
        <v>0</v>
      </c>
      <c r="C123" s="23">
        <v>1</v>
      </c>
      <c r="D123" s="22">
        <v>0</v>
      </c>
      <c r="E123" s="2">
        <v>4.3162589133925407E-2</v>
      </c>
      <c r="F123" s="2">
        <f t="shared" si="2"/>
        <v>4.3162589133925406</v>
      </c>
      <c r="G123" s="2">
        <f t="shared" si="3"/>
        <v>0</v>
      </c>
    </row>
    <row r="124" spans="1:7" x14ac:dyDescent="0.3">
      <c r="A124" s="23">
        <v>1</v>
      </c>
      <c r="B124" s="23">
        <v>0</v>
      </c>
      <c r="C124" s="23">
        <v>0</v>
      </c>
      <c r="D124" s="22">
        <v>1</v>
      </c>
      <c r="E124" s="2">
        <v>4.3173789458881028E-2</v>
      </c>
      <c r="F124" s="2">
        <f t="shared" si="2"/>
        <v>4.3173789458881027</v>
      </c>
      <c r="G124" s="2">
        <f t="shared" si="3"/>
        <v>0</v>
      </c>
    </row>
    <row r="125" spans="1:7" x14ac:dyDescent="0.3">
      <c r="A125" s="23">
        <v>0</v>
      </c>
      <c r="B125" s="23">
        <v>0</v>
      </c>
      <c r="C125" s="23">
        <v>1</v>
      </c>
      <c r="D125" s="22">
        <v>0</v>
      </c>
      <c r="E125" s="2">
        <v>4.3162763721896813E-2</v>
      </c>
      <c r="F125" s="2">
        <f t="shared" si="2"/>
        <v>4.3162763721896811</v>
      </c>
      <c r="G125" s="2">
        <f t="shared" si="3"/>
        <v>0</v>
      </c>
    </row>
    <row r="126" spans="1:7" x14ac:dyDescent="0.3">
      <c r="A126" s="23">
        <v>1</v>
      </c>
      <c r="B126" s="23">
        <v>0</v>
      </c>
      <c r="C126" s="23">
        <v>1</v>
      </c>
      <c r="D126" s="22">
        <v>0</v>
      </c>
      <c r="E126" s="2">
        <v>4.3162589133925407E-2</v>
      </c>
      <c r="F126" s="2">
        <f t="shared" si="2"/>
        <v>4.3162589133925406</v>
      </c>
      <c r="G126" s="2">
        <f t="shared" si="3"/>
        <v>0</v>
      </c>
    </row>
    <row r="127" spans="1:7" x14ac:dyDescent="0.3">
      <c r="A127" s="23">
        <v>1</v>
      </c>
      <c r="B127" s="23">
        <v>0</v>
      </c>
      <c r="C127" s="23">
        <v>1</v>
      </c>
      <c r="D127" s="22">
        <v>1</v>
      </c>
      <c r="E127" s="2">
        <v>4.3162589133925407E-2</v>
      </c>
      <c r="F127" s="2">
        <f t="shared" si="2"/>
        <v>4.3162589133925406</v>
      </c>
      <c r="G127" s="2">
        <f t="shared" si="3"/>
        <v>0</v>
      </c>
    </row>
    <row r="128" spans="1:7" x14ac:dyDescent="0.3">
      <c r="A128" s="23">
        <v>0</v>
      </c>
      <c r="B128" s="23">
        <v>0</v>
      </c>
      <c r="C128" s="23">
        <v>1</v>
      </c>
      <c r="D128" s="22">
        <v>1</v>
      </c>
      <c r="E128" s="2">
        <v>4.3162763721896813E-2</v>
      </c>
      <c r="F128" s="2">
        <f t="shared" si="2"/>
        <v>4.3162763721896811</v>
      </c>
      <c r="G128" s="2">
        <f t="shared" si="3"/>
        <v>0</v>
      </c>
    </row>
    <row r="129" spans="1:7" x14ac:dyDescent="0.3">
      <c r="A129" s="23">
        <v>1</v>
      </c>
      <c r="B129" s="23">
        <v>0</v>
      </c>
      <c r="C129" s="23">
        <v>1</v>
      </c>
      <c r="D129" s="22">
        <v>0</v>
      </c>
      <c r="E129" s="2">
        <v>4.3162589133925407E-2</v>
      </c>
      <c r="F129" s="2">
        <f t="shared" si="2"/>
        <v>4.3162589133925406</v>
      </c>
      <c r="G129" s="2">
        <f t="shared" si="3"/>
        <v>0</v>
      </c>
    </row>
    <row r="130" spans="1:7" x14ac:dyDescent="0.3">
      <c r="A130" s="23">
        <v>1</v>
      </c>
      <c r="B130" s="23">
        <v>0</v>
      </c>
      <c r="C130" s="23">
        <v>1</v>
      </c>
      <c r="D130" s="22">
        <v>1</v>
      </c>
      <c r="E130" s="2">
        <v>4.3162589133925407E-2</v>
      </c>
      <c r="F130" s="2">
        <f t="shared" si="2"/>
        <v>4.3162589133925406</v>
      </c>
      <c r="G130" s="2">
        <f t="shared" si="3"/>
        <v>0</v>
      </c>
    </row>
    <row r="131" spans="1:7" x14ac:dyDescent="0.3">
      <c r="A131" s="23">
        <v>0</v>
      </c>
      <c r="B131" s="23">
        <v>1</v>
      </c>
      <c r="C131" s="23">
        <v>1</v>
      </c>
      <c r="D131" s="22">
        <v>1</v>
      </c>
      <c r="E131" s="2">
        <v>4.3162614548656636E-2</v>
      </c>
      <c r="F131" s="2">
        <f t="shared" ref="F131:F194" si="4">E131*100</f>
        <v>4.3162614548656633</v>
      </c>
      <c r="G131" s="2">
        <f t="shared" ref="G131:G194" si="5">IF(F131&gt;50, 1, 0)</f>
        <v>0</v>
      </c>
    </row>
    <row r="132" spans="1:7" x14ac:dyDescent="0.3">
      <c r="A132" s="23">
        <v>0</v>
      </c>
      <c r="B132" s="23">
        <v>0</v>
      </c>
      <c r="C132" s="23">
        <v>0</v>
      </c>
      <c r="D132" s="22">
        <v>1</v>
      </c>
      <c r="E132" s="2">
        <v>0.5585152771803511</v>
      </c>
      <c r="F132" s="2">
        <f t="shared" si="4"/>
        <v>55.851527718035108</v>
      </c>
      <c r="G132" s="2">
        <f t="shared" si="5"/>
        <v>1</v>
      </c>
    </row>
    <row r="133" spans="1:7" x14ac:dyDescent="0.3">
      <c r="A133" s="23">
        <v>0</v>
      </c>
      <c r="B133" s="23">
        <v>0</v>
      </c>
      <c r="C133" s="23">
        <v>1</v>
      </c>
      <c r="D133" s="22">
        <v>0</v>
      </c>
      <c r="E133" s="2">
        <v>4.3162763721896813E-2</v>
      </c>
      <c r="F133" s="2">
        <f t="shared" si="4"/>
        <v>4.3162763721896811</v>
      </c>
      <c r="G133" s="2">
        <f t="shared" si="5"/>
        <v>0</v>
      </c>
    </row>
    <row r="134" spans="1:7" x14ac:dyDescent="0.3">
      <c r="A134" s="23">
        <v>0</v>
      </c>
      <c r="B134" s="23">
        <v>1</v>
      </c>
      <c r="C134" s="23">
        <v>1</v>
      </c>
      <c r="D134" s="22">
        <v>1</v>
      </c>
      <c r="E134" s="2">
        <v>4.3162614548656636E-2</v>
      </c>
      <c r="F134" s="2">
        <f t="shared" si="4"/>
        <v>4.3162614548656633</v>
      </c>
      <c r="G134" s="2">
        <f t="shared" si="5"/>
        <v>0</v>
      </c>
    </row>
    <row r="135" spans="1:7" x14ac:dyDescent="0.3">
      <c r="A135" s="23">
        <v>1</v>
      </c>
      <c r="B135" s="23">
        <v>0</v>
      </c>
      <c r="C135" s="23">
        <v>0</v>
      </c>
      <c r="D135" s="22">
        <v>0</v>
      </c>
      <c r="E135" s="2">
        <v>4.3173789458881028E-2</v>
      </c>
      <c r="F135" s="2">
        <f t="shared" si="4"/>
        <v>4.3173789458881027</v>
      </c>
      <c r="G135" s="2">
        <f t="shared" si="5"/>
        <v>0</v>
      </c>
    </row>
    <row r="136" spans="1:7" x14ac:dyDescent="0.3">
      <c r="A136" s="23">
        <v>1</v>
      </c>
      <c r="B136" s="23">
        <v>0</v>
      </c>
      <c r="C136" s="23">
        <v>1</v>
      </c>
      <c r="D136" s="22">
        <v>0</v>
      </c>
      <c r="E136" s="2">
        <v>4.3162589133925407E-2</v>
      </c>
      <c r="F136" s="2">
        <f t="shared" si="4"/>
        <v>4.3162589133925406</v>
      </c>
      <c r="G136" s="2">
        <f t="shared" si="5"/>
        <v>0</v>
      </c>
    </row>
    <row r="137" spans="1:7" x14ac:dyDescent="0.3">
      <c r="A137" s="23">
        <v>1</v>
      </c>
      <c r="B137" s="23">
        <v>0</v>
      </c>
      <c r="C137" s="23">
        <v>1</v>
      </c>
      <c r="D137" s="22">
        <v>1</v>
      </c>
      <c r="E137" s="2">
        <v>4.3162589133925407E-2</v>
      </c>
      <c r="F137" s="2">
        <f t="shared" si="4"/>
        <v>4.3162589133925406</v>
      </c>
      <c r="G137" s="2">
        <f t="shared" si="5"/>
        <v>0</v>
      </c>
    </row>
    <row r="138" spans="1:7" x14ac:dyDescent="0.3">
      <c r="A138" s="23">
        <v>0</v>
      </c>
      <c r="B138" s="23">
        <v>0</v>
      </c>
      <c r="C138" s="23">
        <v>1</v>
      </c>
      <c r="D138" s="22">
        <v>0</v>
      </c>
      <c r="E138" s="2">
        <v>4.3162763721896813E-2</v>
      </c>
      <c r="F138" s="2">
        <f t="shared" si="4"/>
        <v>4.3162763721896811</v>
      </c>
      <c r="G138" s="2">
        <f t="shared" si="5"/>
        <v>0</v>
      </c>
    </row>
    <row r="139" spans="1:7" x14ac:dyDescent="0.3">
      <c r="A139" s="23">
        <v>0</v>
      </c>
      <c r="B139" s="23">
        <v>0</v>
      </c>
      <c r="C139" s="23">
        <v>1</v>
      </c>
      <c r="D139" s="22">
        <v>0</v>
      </c>
      <c r="E139" s="2">
        <v>4.3162763721896813E-2</v>
      </c>
      <c r="F139" s="2">
        <f t="shared" si="4"/>
        <v>4.3162763721896811</v>
      </c>
      <c r="G139" s="2">
        <f t="shared" si="5"/>
        <v>0</v>
      </c>
    </row>
    <row r="140" spans="1:7" x14ac:dyDescent="0.3">
      <c r="A140" s="23">
        <v>1</v>
      </c>
      <c r="B140" s="23">
        <v>0</v>
      </c>
      <c r="C140" s="23">
        <v>0</v>
      </c>
      <c r="D140" s="22">
        <v>0</v>
      </c>
      <c r="E140" s="2">
        <v>4.3173789458881028E-2</v>
      </c>
      <c r="F140" s="2">
        <f t="shared" si="4"/>
        <v>4.3173789458881027</v>
      </c>
      <c r="G140" s="2">
        <f t="shared" si="5"/>
        <v>0</v>
      </c>
    </row>
    <row r="141" spans="1:7" x14ac:dyDescent="0.3">
      <c r="A141" s="23">
        <v>0</v>
      </c>
      <c r="B141" s="23">
        <v>0</v>
      </c>
      <c r="C141" s="23">
        <v>0</v>
      </c>
      <c r="D141" s="22">
        <v>1</v>
      </c>
      <c r="E141" s="2">
        <v>0.5585152771803511</v>
      </c>
      <c r="F141" s="2">
        <f t="shared" si="4"/>
        <v>55.851527718035108</v>
      </c>
      <c r="G141" s="2">
        <f t="shared" si="5"/>
        <v>1</v>
      </c>
    </row>
    <row r="142" spans="1:7" x14ac:dyDescent="0.3">
      <c r="A142" s="23">
        <v>0</v>
      </c>
      <c r="B142" s="23">
        <v>1</v>
      </c>
      <c r="C142" s="23">
        <v>1</v>
      </c>
      <c r="D142" s="22">
        <v>1</v>
      </c>
      <c r="E142" s="2">
        <v>4.3162614548656636E-2</v>
      </c>
      <c r="F142" s="2">
        <f t="shared" si="4"/>
        <v>4.3162614548656633</v>
      </c>
      <c r="G142" s="2">
        <f t="shared" si="5"/>
        <v>0</v>
      </c>
    </row>
    <row r="143" spans="1:7" x14ac:dyDescent="0.3">
      <c r="A143" s="23">
        <v>0</v>
      </c>
      <c r="B143" s="23">
        <v>1</v>
      </c>
      <c r="C143" s="23">
        <v>1</v>
      </c>
      <c r="D143" s="22">
        <v>0</v>
      </c>
      <c r="E143" s="2">
        <v>4.3162614548656636E-2</v>
      </c>
      <c r="F143" s="2">
        <f t="shared" si="4"/>
        <v>4.3162614548656633</v>
      </c>
      <c r="G143" s="2">
        <f t="shared" si="5"/>
        <v>0</v>
      </c>
    </row>
    <row r="144" spans="1:7" x14ac:dyDescent="0.3">
      <c r="A144" s="23">
        <v>0</v>
      </c>
      <c r="B144" s="23">
        <v>1</v>
      </c>
      <c r="C144" s="23">
        <v>0</v>
      </c>
      <c r="D144" s="22">
        <v>1</v>
      </c>
      <c r="E144" s="2">
        <v>9.5244484241092831E-2</v>
      </c>
      <c r="F144" s="2">
        <f t="shared" si="4"/>
        <v>9.5244484241092824</v>
      </c>
      <c r="G144" s="2">
        <f t="shared" si="5"/>
        <v>0</v>
      </c>
    </row>
    <row r="145" spans="1:7" x14ac:dyDescent="0.3">
      <c r="A145" s="23">
        <v>1</v>
      </c>
      <c r="B145" s="23">
        <v>0</v>
      </c>
      <c r="C145" s="23">
        <v>0</v>
      </c>
      <c r="D145" s="22">
        <v>1</v>
      </c>
      <c r="E145" s="2">
        <v>4.3173789458881028E-2</v>
      </c>
      <c r="F145" s="2">
        <f t="shared" si="4"/>
        <v>4.3173789458881027</v>
      </c>
      <c r="G145" s="2">
        <f t="shared" si="5"/>
        <v>0</v>
      </c>
    </row>
    <row r="146" spans="1:7" x14ac:dyDescent="0.3">
      <c r="A146" s="23">
        <v>0</v>
      </c>
      <c r="B146" s="23">
        <v>0</v>
      </c>
      <c r="C146" s="23">
        <v>1</v>
      </c>
      <c r="D146" s="22">
        <v>0</v>
      </c>
      <c r="E146" s="2">
        <v>4.3162763721896813E-2</v>
      </c>
      <c r="F146" s="2">
        <f t="shared" si="4"/>
        <v>4.3162763721896811</v>
      </c>
      <c r="G146" s="2">
        <f t="shared" si="5"/>
        <v>0</v>
      </c>
    </row>
    <row r="147" spans="1:7" x14ac:dyDescent="0.3">
      <c r="A147" s="23">
        <v>1</v>
      </c>
      <c r="B147" s="23">
        <v>0</v>
      </c>
      <c r="C147" s="23">
        <v>0</v>
      </c>
      <c r="D147" s="22">
        <v>0</v>
      </c>
      <c r="E147" s="2">
        <v>4.3173789458881028E-2</v>
      </c>
      <c r="F147" s="2">
        <f t="shared" si="4"/>
        <v>4.3173789458881027</v>
      </c>
      <c r="G147" s="2">
        <f t="shared" si="5"/>
        <v>0</v>
      </c>
    </row>
    <row r="148" spans="1:7" x14ac:dyDescent="0.3">
      <c r="A148" s="23">
        <v>0</v>
      </c>
      <c r="B148" s="23">
        <v>0</v>
      </c>
      <c r="C148" s="23">
        <v>1</v>
      </c>
      <c r="D148" s="22">
        <v>1</v>
      </c>
      <c r="E148" s="2">
        <v>4.3162763721896813E-2</v>
      </c>
      <c r="F148" s="2">
        <f t="shared" si="4"/>
        <v>4.3162763721896811</v>
      </c>
      <c r="G148" s="2">
        <f t="shared" si="5"/>
        <v>0</v>
      </c>
    </row>
    <row r="149" spans="1:7" x14ac:dyDescent="0.3">
      <c r="A149" s="23">
        <v>0</v>
      </c>
      <c r="B149" s="23">
        <v>0</v>
      </c>
      <c r="C149" s="23">
        <v>1</v>
      </c>
      <c r="D149" s="22">
        <v>1</v>
      </c>
      <c r="E149" s="2">
        <v>4.3162763721896813E-2</v>
      </c>
      <c r="F149" s="2">
        <f t="shared" si="4"/>
        <v>4.3162763721896811</v>
      </c>
      <c r="G149" s="2">
        <f t="shared" si="5"/>
        <v>0</v>
      </c>
    </row>
    <row r="150" spans="1:7" x14ac:dyDescent="0.3">
      <c r="A150" s="23">
        <v>0</v>
      </c>
      <c r="B150" s="23">
        <v>0</v>
      </c>
      <c r="C150" s="23">
        <v>1</v>
      </c>
      <c r="D150" s="22">
        <v>0</v>
      </c>
      <c r="E150" s="2">
        <v>4.3162763721896813E-2</v>
      </c>
      <c r="F150" s="2">
        <f t="shared" si="4"/>
        <v>4.3162763721896811</v>
      </c>
      <c r="G150" s="2">
        <f t="shared" si="5"/>
        <v>0</v>
      </c>
    </row>
    <row r="151" spans="1:7" x14ac:dyDescent="0.3">
      <c r="A151" s="23">
        <v>1</v>
      </c>
      <c r="B151" s="23">
        <v>0</v>
      </c>
      <c r="C151" s="23">
        <v>1</v>
      </c>
      <c r="D151" s="22">
        <v>1</v>
      </c>
      <c r="E151" s="2">
        <v>4.3162589133925407E-2</v>
      </c>
      <c r="F151" s="2">
        <f t="shared" si="4"/>
        <v>4.3162589133925406</v>
      </c>
      <c r="G151" s="2">
        <f t="shared" si="5"/>
        <v>0</v>
      </c>
    </row>
    <row r="152" spans="1:7" x14ac:dyDescent="0.3">
      <c r="A152" s="23">
        <v>1</v>
      </c>
      <c r="B152" s="23">
        <v>0</v>
      </c>
      <c r="C152" s="23">
        <v>1</v>
      </c>
      <c r="D152" s="22">
        <v>0</v>
      </c>
      <c r="E152" s="2">
        <v>4.3162589133925407E-2</v>
      </c>
      <c r="F152" s="2">
        <f t="shared" si="4"/>
        <v>4.3162589133925406</v>
      </c>
      <c r="G152" s="2">
        <f t="shared" si="5"/>
        <v>0</v>
      </c>
    </row>
    <row r="153" spans="1:7" x14ac:dyDescent="0.3">
      <c r="A153" s="23">
        <v>0</v>
      </c>
      <c r="B153" s="23">
        <v>0</v>
      </c>
      <c r="C153" s="23">
        <v>1</v>
      </c>
      <c r="D153" s="22">
        <v>0</v>
      </c>
      <c r="E153" s="2">
        <v>4.3162763721896813E-2</v>
      </c>
      <c r="F153" s="2">
        <f t="shared" si="4"/>
        <v>4.3162763721896811</v>
      </c>
      <c r="G153" s="2">
        <f t="shared" si="5"/>
        <v>0</v>
      </c>
    </row>
    <row r="154" spans="1:7" x14ac:dyDescent="0.3">
      <c r="A154" s="23">
        <v>0</v>
      </c>
      <c r="B154" s="23">
        <v>1</v>
      </c>
      <c r="C154" s="23">
        <v>1</v>
      </c>
      <c r="D154" s="22">
        <v>0</v>
      </c>
      <c r="E154" s="2">
        <v>4.3162614548656636E-2</v>
      </c>
      <c r="F154" s="2">
        <f t="shared" si="4"/>
        <v>4.3162614548656633</v>
      </c>
      <c r="G154" s="2">
        <f t="shared" si="5"/>
        <v>0</v>
      </c>
    </row>
    <row r="155" spans="1:7" x14ac:dyDescent="0.3">
      <c r="A155" s="23">
        <v>0</v>
      </c>
      <c r="B155" s="23">
        <v>1</v>
      </c>
      <c r="C155" s="23">
        <v>1</v>
      </c>
      <c r="D155" s="22">
        <v>1</v>
      </c>
      <c r="E155" s="2">
        <v>4.3162614548656636E-2</v>
      </c>
      <c r="F155" s="2">
        <f t="shared" si="4"/>
        <v>4.3162614548656633</v>
      </c>
      <c r="G155" s="2">
        <f t="shared" si="5"/>
        <v>0</v>
      </c>
    </row>
    <row r="156" spans="1:7" x14ac:dyDescent="0.3">
      <c r="A156" s="23">
        <v>0</v>
      </c>
      <c r="B156" s="23">
        <v>0</v>
      </c>
      <c r="C156" s="23">
        <v>1</v>
      </c>
      <c r="D156" s="22">
        <v>0</v>
      </c>
      <c r="E156" s="2">
        <v>4.3162763721896813E-2</v>
      </c>
      <c r="F156" s="2">
        <f t="shared" si="4"/>
        <v>4.3162763721896811</v>
      </c>
      <c r="G156" s="2">
        <f t="shared" si="5"/>
        <v>0</v>
      </c>
    </row>
    <row r="157" spans="1:7" x14ac:dyDescent="0.3">
      <c r="A157" s="23">
        <v>1</v>
      </c>
      <c r="B157" s="23">
        <v>0</v>
      </c>
      <c r="C157" s="23">
        <v>0</v>
      </c>
      <c r="D157" s="22">
        <v>1</v>
      </c>
      <c r="E157" s="2">
        <v>4.3173789458881028E-2</v>
      </c>
      <c r="F157" s="2">
        <f t="shared" si="4"/>
        <v>4.3173789458881027</v>
      </c>
      <c r="G157" s="2">
        <f t="shared" si="5"/>
        <v>0</v>
      </c>
    </row>
    <row r="158" spans="1:7" x14ac:dyDescent="0.3">
      <c r="A158" s="23">
        <v>0</v>
      </c>
      <c r="B158" s="23">
        <v>1</v>
      </c>
      <c r="C158" s="23">
        <v>0</v>
      </c>
      <c r="D158" s="22">
        <v>0</v>
      </c>
      <c r="E158" s="2">
        <v>9.5244484241092831E-2</v>
      </c>
      <c r="F158" s="2">
        <f t="shared" si="4"/>
        <v>9.5244484241092824</v>
      </c>
      <c r="G158" s="2">
        <f t="shared" si="5"/>
        <v>0</v>
      </c>
    </row>
    <row r="159" spans="1:7" x14ac:dyDescent="0.3">
      <c r="A159" s="23">
        <v>0</v>
      </c>
      <c r="B159" s="23">
        <v>1</v>
      </c>
      <c r="C159" s="23">
        <v>0</v>
      </c>
      <c r="D159" s="22">
        <v>1</v>
      </c>
      <c r="E159" s="2">
        <v>9.5244484241092831E-2</v>
      </c>
      <c r="F159" s="2">
        <f t="shared" si="4"/>
        <v>9.5244484241092824</v>
      </c>
      <c r="G159" s="2">
        <f t="shared" si="5"/>
        <v>0</v>
      </c>
    </row>
    <row r="160" spans="1:7" x14ac:dyDescent="0.3">
      <c r="A160" s="23">
        <v>1</v>
      </c>
      <c r="B160" s="23">
        <v>0</v>
      </c>
      <c r="C160" s="23">
        <v>0</v>
      </c>
      <c r="D160" s="22">
        <v>1</v>
      </c>
      <c r="E160" s="2">
        <v>4.3173789458881028E-2</v>
      </c>
      <c r="F160" s="2">
        <f t="shared" si="4"/>
        <v>4.3173789458881027</v>
      </c>
      <c r="G160" s="2">
        <f t="shared" si="5"/>
        <v>0</v>
      </c>
    </row>
    <row r="161" spans="1:7" x14ac:dyDescent="0.3">
      <c r="A161" s="23">
        <v>0</v>
      </c>
      <c r="B161" s="23">
        <v>1</v>
      </c>
      <c r="C161" s="23">
        <v>1</v>
      </c>
      <c r="D161" s="22">
        <v>0</v>
      </c>
      <c r="E161" s="2">
        <v>4.3162614548656636E-2</v>
      </c>
      <c r="F161" s="2">
        <f t="shared" si="4"/>
        <v>4.3162614548656633</v>
      </c>
      <c r="G161" s="2">
        <f t="shared" si="5"/>
        <v>0</v>
      </c>
    </row>
    <row r="162" spans="1:7" x14ac:dyDescent="0.3">
      <c r="A162" s="23">
        <v>1</v>
      </c>
      <c r="B162" s="23">
        <v>0</v>
      </c>
      <c r="C162" s="23">
        <v>1</v>
      </c>
      <c r="D162" s="22">
        <v>1</v>
      </c>
      <c r="E162" s="2">
        <v>4.3162589133925407E-2</v>
      </c>
      <c r="F162" s="2">
        <f t="shared" si="4"/>
        <v>4.3162589133925406</v>
      </c>
      <c r="G162" s="2">
        <f t="shared" si="5"/>
        <v>0</v>
      </c>
    </row>
    <row r="163" spans="1:7" x14ac:dyDescent="0.3">
      <c r="A163" s="23">
        <v>1</v>
      </c>
      <c r="B163" s="23">
        <v>0</v>
      </c>
      <c r="C163" s="23">
        <v>0</v>
      </c>
      <c r="D163" s="22">
        <v>1</v>
      </c>
      <c r="E163" s="2">
        <v>4.3173789458881028E-2</v>
      </c>
      <c r="F163" s="2">
        <f t="shared" si="4"/>
        <v>4.3173789458881027</v>
      </c>
      <c r="G163" s="2">
        <f t="shared" si="5"/>
        <v>0</v>
      </c>
    </row>
    <row r="164" spans="1:7" x14ac:dyDescent="0.3">
      <c r="A164" s="23">
        <v>1</v>
      </c>
      <c r="B164" s="23">
        <v>0</v>
      </c>
      <c r="C164" s="23">
        <v>0</v>
      </c>
      <c r="D164" s="22">
        <v>1</v>
      </c>
      <c r="E164" s="2">
        <v>4.3173789458881028E-2</v>
      </c>
      <c r="F164" s="2">
        <f t="shared" si="4"/>
        <v>4.3173789458881027</v>
      </c>
      <c r="G164" s="2">
        <f t="shared" si="5"/>
        <v>0</v>
      </c>
    </row>
    <row r="165" spans="1:7" x14ac:dyDescent="0.3">
      <c r="A165" s="23">
        <v>0</v>
      </c>
      <c r="B165" s="23">
        <v>0</v>
      </c>
      <c r="C165" s="23">
        <v>1</v>
      </c>
      <c r="D165" s="22">
        <v>0</v>
      </c>
      <c r="E165" s="2">
        <v>4.3162763721896813E-2</v>
      </c>
      <c r="F165" s="2">
        <f t="shared" si="4"/>
        <v>4.3162763721896811</v>
      </c>
      <c r="G165" s="2">
        <f t="shared" si="5"/>
        <v>0</v>
      </c>
    </row>
    <row r="166" spans="1:7" x14ac:dyDescent="0.3">
      <c r="A166" s="23">
        <v>0</v>
      </c>
      <c r="B166" s="23">
        <v>0</v>
      </c>
      <c r="C166" s="23">
        <v>1</v>
      </c>
      <c r="D166" s="22">
        <v>1</v>
      </c>
      <c r="E166" s="2">
        <v>4.3162763721896813E-2</v>
      </c>
      <c r="F166" s="2">
        <f t="shared" si="4"/>
        <v>4.3162763721896811</v>
      </c>
      <c r="G166" s="2">
        <f t="shared" si="5"/>
        <v>0</v>
      </c>
    </row>
    <row r="167" spans="1:7" x14ac:dyDescent="0.3">
      <c r="A167" s="23">
        <v>0</v>
      </c>
      <c r="B167" s="23">
        <v>0</v>
      </c>
      <c r="C167" s="23">
        <v>1</v>
      </c>
      <c r="D167" s="22">
        <v>0</v>
      </c>
      <c r="E167" s="2">
        <v>4.3162763721896813E-2</v>
      </c>
      <c r="F167" s="2">
        <f t="shared" si="4"/>
        <v>4.3162763721896811</v>
      </c>
      <c r="G167" s="2">
        <f t="shared" si="5"/>
        <v>0</v>
      </c>
    </row>
    <row r="168" spans="1:7" x14ac:dyDescent="0.3">
      <c r="A168" s="23">
        <v>0</v>
      </c>
      <c r="B168" s="23">
        <v>0</v>
      </c>
      <c r="C168" s="23">
        <v>1</v>
      </c>
      <c r="D168" s="22">
        <v>1</v>
      </c>
      <c r="E168" s="2">
        <v>4.3162763721896813E-2</v>
      </c>
      <c r="F168" s="2">
        <f t="shared" si="4"/>
        <v>4.3162763721896811</v>
      </c>
      <c r="G168" s="2">
        <f t="shared" si="5"/>
        <v>0</v>
      </c>
    </row>
    <row r="169" spans="1:7" x14ac:dyDescent="0.3">
      <c r="A169" s="23">
        <v>1</v>
      </c>
      <c r="B169" s="23">
        <v>0</v>
      </c>
      <c r="C169" s="23">
        <v>0</v>
      </c>
      <c r="D169" s="22">
        <v>0</v>
      </c>
      <c r="E169" s="2">
        <v>4.3173789458881028E-2</v>
      </c>
      <c r="F169" s="2">
        <f t="shared" si="4"/>
        <v>4.3173789458881027</v>
      </c>
      <c r="G169" s="2">
        <f t="shared" si="5"/>
        <v>0</v>
      </c>
    </row>
    <row r="170" spans="1:7" x14ac:dyDescent="0.3">
      <c r="A170" s="23">
        <v>0</v>
      </c>
      <c r="B170" s="23">
        <v>0</v>
      </c>
      <c r="C170" s="23">
        <v>1</v>
      </c>
      <c r="D170" s="22">
        <v>0</v>
      </c>
      <c r="E170" s="2">
        <v>4.3162763721896813E-2</v>
      </c>
      <c r="F170" s="2">
        <f t="shared" si="4"/>
        <v>4.3162763721896811</v>
      </c>
      <c r="G170" s="2">
        <f t="shared" si="5"/>
        <v>0</v>
      </c>
    </row>
    <row r="171" spans="1:7" x14ac:dyDescent="0.3">
      <c r="A171" s="23">
        <v>0</v>
      </c>
      <c r="B171" s="23">
        <v>0</v>
      </c>
      <c r="C171" s="23">
        <v>1</v>
      </c>
      <c r="D171" s="22">
        <v>0</v>
      </c>
      <c r="E171" s="2">
        <v>4.3162763721896813E-2</v>
      </c>
      <c r="F171" s="2">
        <f t="shared" si="4"/>
        <v>4.3162763721896811</v>
      </c>
      <c r="G171" s="2">
        <f t="shared" si="5"/>
        <v>0</v>
      </c>
    </row>
    <row r="172" spans="1:7" x14ac:dyDescent="0.3">
      <c r="A172" s="23">
        <v>1</v>
      </c>
      <c r="B172" s="23">
        <v>0</v>
      </c>
      <c r="C172" s="23">
        <v>0</v>
      </c>
      <c r="D172" s="22">
        <v>1</v>
      </c>
      <c r="E172" s="2">
        <v>4.3173789458881028E-2</v>
      </c>
      <c r="F172" s="2">
        <f t="shared" si="4"/>
        <v>4.3173789458881027</v>
      </c>
      <c r="G172" s="2">
        <f t="shared" si="5"/>
        <v>0</v>
      </c>
    </row>
    <row r="173" spans="1:7" x14ac:dyDescent="0.3">
      <c r="A173" s="23">
        <v>0</v>
      </c>
      <c r="B173" s="23">
        <v>0</v>
      </c>
      <c r="C173" s="23">
        <v>0</v>
      </c>
      <c r="D173" s="22">
        <v>0</v>
      </c>
      <c r="E173" s="2">
        <v>0.5585152771803511</v>
      </c>
      <c r="F173" s="2">
        <f t="shared" si="4"/>
        <v>55.851527718035108</v>
      </c>
      <c r="G173" s="2">
        <f t="shared" si="5"/>
        <v>1</v>
      </c>
    </row>
    <row r="174" spans="1:7" x14ac:dyDescent="0.3">
      <c r="A174" s="23">
        <v>1</v>
      </c>
      <c r="B174" s="23">
        <v>0</v>
      </c>
      <c r="C174" s="23">
        <v>1</v>
      </c>
      <c r="D174" s="22">
        <v>0</v>
      </c>
      <c r="E174" s="2">
        <v>4.3162589133925407E-2</v>
      </c>
      <c r="F174" s="2">
        <f t="shared" si="4"/>
        <v>4.3162589133925406</v>
      </c>
      <c r="G174" s="2">
        <f t="shared" si="5"/>
        <v>0</v>
      </c>
    </row>
    <row r="175" spans="1:7" x14ac:dyDescent="0.3">
      <c r="A175" s="23">
        <v>0</v>
      </c>
      <c r="B175" s="23">
        <v>1</v>
      </c>
      <c r="C175" s="23">
        <v>1</v>
      </c>
      <c r="D175" s="22">
        <v>0</v>
      </c>
      <c r="E175" s="2">
        <v>4.3162614548656636E-2</v>
      </c>
      <c r="F175" s="2">
        <f t="shared" si="4"/>
        <v>4.3162614548656633</v>
      </c>
      <c r="G175" s="2">
        <f t="shared" si="5"/>
        <v>0</v>
      </c>
    </row>
    <row r="176" spans="1:7" x14ac:dyDescent="0.3">
      <c r="A176" s="23">
        <v>0</v>
      </c>
      <c r="B176" s="23">
        <v>1</v>
      </c>
      <c r="C176" s="23">
        <v>0</v>
      </c>
      <c r="D176" s="22">
        <v>1</v>
      </c>
      <c r="E176" s="2">
        <v>9.5244484241092831E-2</v>
      </c>
      <c r="F176" s="2">
        <f t="shared" si="4"/>
        <v>9.5244484241092824</v>
      </c>
      <c r="G176" s="2">
        <f t="shared" si="5"/>
        <v>0</v>
      </c>
    </row>
    <row r="177" spans="1:7" x14ac:dyDescent="0.3">
      <c r="A177" s="23">
        <v>1</v>
      </c>
      <c r="B177" s="23">
        <v>0</v>
      </c>
      <c r="C177" s="23">
        <v>1</v>
      </c>
      <c r="D177" s="22">
        <v>1</v>
      </c>
      <c r="E177" s="2">
        <v>4.3162589133925407E-2</v>
      </c>
      <c r="F177" s="2">
        <f t="shared" si="4"/>
        <v>4.3162589133925406</v>
      </c>
      <c r="G177" s="2">
        <f t="shared" si="5"/>
        <v>0</v>
      </c>
    </row>
    <row r="178" spans="1:7" x14ac:dyDescent="0.3">
      <c r="A178" s="23">
        <v>1</v>
      </c>
      <c r="B178" s="23">
        <v>0</v>
      </c>
      <c r="C178" s="23">
        <v>1</v>
      </c>
      <c r="D178" s="22">
        <v>0</v>
      </c>
      <c r="E178" s="2">
        <v>4.3162589133925407E-2</v>
      </c>
      <c r="F178" s="2">
        <f t="shared" si="4"/>
        <v>4.3162589133925406</v>
      </c>
      <c r="G178" s="2">
        <f t="shared" si="5"/>
        <v>0</v>
      </c>
    </row>
    <row r="179" spans="1:7" x14ac:dyDescent="0.3">
      <c r="A179" s="23">
        <v>1</v>
      </c>
      <c r="B179" s="23">
        <v>0</v>
      </c>
      <c r="C179" s="23">
        <v>1</v>
      </c>
      <c r="D179" s="22">
        <v>1</v>
      </c>
      <c r="E179" s="2">
        <v>4.3162589133925407E-2</v>
      </c>
      <c r="F179" s="2">
        <f t="shared" si="4"/>
        <v>4.3162589133925406</v>
      </c>
      <c r="G179" s="2">
        <f t="shared" si="5"/>
        <v>0</v>
      </c>
    </row>
    <row r="180" spans="1:7" x14ac:dyDescent="0.3">
      <c r="A180" s="23">
        <v>1</v>
      </c>
      <c r="B180" s="23">
        <v>0</v>
      </c>
      <c r="C180" s="23">
        <v>1</v>
      </c>
      <c r="D180" s="22">
        <v>0</v>
      </c>
      <c r="E180" s="2">
        <v>4.3162589133925407E-2</v>
      </c>
      <c r="F180" s="2">
        <f t="shared" si="4"/>
        <v>4.3162589133925406</v>
      </c>
      <c r="G180" s="2">
        <f t="shared" si="5"/>
        <v>0</v>
      </c>
    </row>
    <row r="181" spans="1:7" x14ac:dyDescent="0.3">
      <c r="A181" s="23">
        <v>0</v>
      </c>
      <c r="B181" s="23">
        <v>0</v>
      </c>
      <c r="C181" s="23">
        <v>0</v>
      </c>
      <c r="D181" s="22">
        <v>1</v>
      </c>
      <c r="E181" s="2">
        <v>0.5585152771803511</v>
      </c>
      <c r="F181" s="2">
        <f t="shared" si="4"/>
        <v>55.851527718035108</v>
      </c>
      <c r="G181" s="2">
        <f t="shared" si="5"/>
        <v>1</v>
      </c>
    </row>
    <row r="182" spans="1:7" x14ac:dyDescent="0.3">
      <c r="A182" s="23">
        <v>0</v>
      </c>
      <c r="B182" s="23">
        <v>0</v>
      </c>
      <c r="C182" s="23">
        <v>0</v>
      </c>
      <c r="D182" s="22">
        <v>0</v>
      </c>
      <c r="E182" s="2">
        <v>0.5585152771803511</v>
      </c>
      <c r="F182" s="2">
        <f t="shared" si="4"/>
        <v>55.851527718035108</v>
      </c>
      <c r="G182" s="2">
        <f t="shared" si="5"/>
        <v>1</v>
      </c>
    </row>
    <row r="183" spans="1:7" x14ac:dyDescent="0.3">
      <c r="A183" s="23">
        <v>0</v>
      </c>
      <c r="B183" s="23">
        <v>0</v>
      </c>
      <c r="C183" s="23">
        <v>1</v>
      </c>
      <c r="D183" s="22">
        <v>0</v>
      </c>
      <c r="E183" s="2">
        <v>4.3162763721896813E-2</v>
      </c>
      <c r="F183" s="2">
        <f t="shared" si="4"/>
        <v>4.3162763721896811</v>
      </c>
      <c r="G183" s="2">
        <f t="shared" si="5"/>
        <v>0</v>
      </c>
    </row>
    <row r="184" spans="1:7" x14ac:dyDescent="0.3">
      <c r="A184" s="23">
        <v>0</v>
      </c>
      <c r="B184" s="23">
        <v>1</v>
      </c>
      <c r="C184" s="23">
        <v>1</v>
      </c>
      <c r="D184" s="22">
        <v>0</v>
      </c>
      <c r="E184" s="2">
        <v>4.3162614548656636E-2</v>
      </c>
      <c r="F184" s="2">
        <f t="shared" si="4"/>
        <v>4.3162614548656633</v>
      </c>
      <c r="G184" s="2">
        <f t="shared" si="5"/>
        <v>0</v>
      </c>
    </row>
    <row r="185" spans="1:7" x14ac:dyDescent="0.3">
      <c r="A185" s="23">
        <v>0</v>
      </c>
      <c r="B185" s="23">
        <v>0</v>
      </c>
      <c r="C185" s="23">
        <v>0</v>
      </c>
      <c r="D185" s="22">
        <v>0</v>
      </c>
      <c r="E185" s="2">
        <v>0.5585152771803511</v>
      </c>
      <c r="F185" s="2">
        <f t="shared" si="4"/>
        <v>55.851527718035108</v>
      </c>
      <c r="G185" s="2">
        <f t="shared" si="5"/>
        <v>1</v>
      </c>
    </row>
    <row r="186" spans="1:7" x14ac:dyDescent="0.3">
      <c r="A186" s="23">
        <v>0</v>
      </c>
      <c r="B186" s="23">
        <v>1</v>
      </c>
      <c r="C186" s="23">
        <v>1</v>
      </c>
      <c r="D186" s="22">
        <v>1</v>
      </c>
      <c r="E186" s="2">
        <v>4.3162614548656636E-2</v>
      </c>
      <c r="F186" s="2">
        <f t="shared" si="4"/>
        <v>4.3162614548656633</v>
      </c>
      <c r="G186" s="2">
        <f t="shared" si="5"/>
        <v>0</v>
      </c>
    </row>
    <row r="187" spans="1:7" x14ac:dyDescent="0.3">
      <c r="A187" s="23">
        <v>0</v>
      </c>
      <c r="B187" s="23">
        <v>0</v>
      </c>
      <c r="C187" s="23">
        <v>1</v>
      </c>
      <c r="D187" s="22">
        <v>0</v>
      </c>
      <c r="E187" s="2">
        <v>4.3162763721896813E-2</v>
      </c>
      <c r="F187" s="2">
        <f t="shared" si="4"/>
        <v>4.3162763721896811</v>
      </c>
      <c r="G187" s="2">
        <f t="shared" si="5"/>
        <v>0</v>
      </c>
    </row>
    <row r="188" spans="1:7" x14ac:dyDescent="0.3">
      <c r="A188" s="23">
        <v>1</v>
      </c>
      <c r="B188" s="23">
        <v>0</v>
      </c>
      <c r="C188" s="23">
        <v>0</v>
      </c>
      <c r="D188" s="22">
        <v>0</v>
      </c>
      <c r="E188" s="2">
        <v>4.3173789458881028E-2</v>
      </c>
      <c r="F188" s="2">
        <f t="shared" si="4"/>
        <v>4.3173789458881027</v>
      </c>
      <c r="G188" s="2">
        <f t="shared" si="5"/>
        <v>0</v>
      </c>
    </row>
    <row r="189" spans="1:7" x14ac:dyDescent="0.3">
      <c r="A189" s="23">
        <v>0</v>
      </c>
      <c r="B189" s="23">
        <v>1</v>
      </c>
      <c r="C189" s="23">
        <v>1</v>
      </c>
      <c r="D189" s="22">
        <v>0</v>
      </c>
      <c r="E189" s="2">
        <v>4.3162614548656636E-2</v>
      </c>
      <c r="F189" s="2">
        <f t="shared" si="4"/>
        <v>4.3162614548656633</v>
      </c>
      <c r="G189" s="2">
        <f t="shared" si="5"/>
        <v>0</v>
      </c>
    </row>
    <row r="190" spans="1:7" x14ac:dyDescent="0.3">
      <c r="A190" s="23">
        <v>0</v>
      </c>
      <c r="B190" s="23">
        <v>0</v>
      </c>
      <c r="C190" s="23">
        <v>1</v>
      </c>
      <c r="D190" s="22">
        <v>0</v>
      </c>
      <c r="E190" s="2">
        <v>4.3162763721896813E-2</v>
      </c>
      <c r="F190" s="2">
        <f t="shared" si="4"/>
        <v>4.3162763721896811</v>
      </c>
      <c r="G190" s="2">
        <f t="shared" si="5"/>
        <v>0</v>
      </c>
    </row>
    <row r="191" spans="1:7" x14ac:dyDescent="0.3">
      <c r="A191" s="23">
        <v>0</v>
      </c>
      <c r="B191" s="23">
        <v>0</v>
      </c>
      <c r="C191" s="23">
        <v>1</v>
      </c>
      <c r="D191" s="22">
        <v>0</v>
      </c>
      <c r="E191" s="2">
        <v>4.3162763721896813E-2</v>
      </c>
      <c r="F191" s="2">
        <f t="shared" si="4"/>
        <v>4.3162763721896811</v>
      </c>
      <c r="G191" s="2">
        <f t="shared" si="5"/>
        <v>0</v>
      </c>
    </row>
    <row r="192" spans="1:7" x14ac:dyDescent="0.3">
      <c r="A192" s="23">
        <v>1</v>
      </c>
      <c r="B192" s="23">
        <v>0</v>
      </c>
      <c r="C192" s="23">
        <v>1</v>
      </c>
      <c r="D192" s="22">
        <v>1</v>
      </c>
      <c r="E192" s="2">
        <v>4.3162589133925407E-2</v>
      </c>
      <c r="F192" s="2">
        <f t="shared" si="4"/>
        <v>4.3162589133925406</v>
      </c>
      <c r="G192" s="2">
        <f t="shared" si="5"/>
        <v>0</v>
      </c>
    </row>
    <row r="193" spans="1:7" x14ac:dyDescent="0.3">
      <c r="A193" s="23">
        <v>0</v>
      </c>
      <c r="B193" s="23">
        <v>0</v>
      </c>
      <c r="C193" s="23">
        <v>1</v>
      </c>
      <c r="D193" s="22">
        <v>1</v>
      </c>
      <c r="E193" s="2">
        <v>4.3162763721896813E-2</v>
      </c>
      <c r="F193" s="2">
        <f t="shared" si="4"/>
        <v>4.3162763721896811</v>
      </c>
      <c r="G193" s="2">
        <f t="shared" si="5"/>
        <v>0</v>
      </c>
    </row>
    <row r="194" spans="1:7" x14ac:dyDescent="0.3">
      <c r="A194" s="23">
        <v>0</v>
      </c>
      <c r="B194" s="23">
        <v>1</v>
      </c>
      <c r="C194" s="23">
        <v>0</v>
      </c>
      <c r="D194" s="22">
        <v>1</v>
      </c>
      <c r="E194" s="2">
        <v>9.5244484241092831E-2</v>
      </c>
      <c r="F194" s="2">
        <f t="shared" si="4"/>
        <v>9.5244484241092824</v>
      </c>
      <c r="G194" s="2">
        <f t="shared" si="5"/>
        <v>0</v>
      </c>
    </row>
    <row r="195" spans="1:7" x14ac:dyDescent="0.3">
      <c r="A195" s="23">
        <v>0</v>
      </c>
      <c r="B195" s="23">
        <v>1</v>
      </c>
      <c r="C195" s="23">
        <v>1</v>
      </c>
      <c r="D195" s="22">
        <v>1</v>
      </c>
      <c r="E195" s="2">
        <v>4.3162614548656636E-2</v>
      </c>
      <c r="F195" s="2">
        <f t="shared" ref="F195:F258" si="6">E195*100</f>
        <v>4.3162614548656633</v>
      </c>
      <c r="G195" s="2">
        <f t="shared" ref="G195:G258" si="7">IF(F195&gt;50, 1, 0)</f>
        <v>0</v>
      </c>
    </row>
    <row r="196" spans="1:7" x14ac:dyDescent="0.3">
      <c r="A196" s="23">
        <v>0</v>
      </c>
      <c r="B196" s="23">
        <v>0</v>
      </c>
      <c r="C196" s="23">
        <v>1</v>
      </c>
      <c r="D196" s="22">
        <v>0</v>
      </c>
      <c r="E196" s="2">
        <v>4.3162763721896813E-2</v>
      </c>
      <c r="F196" s="2">
        <f t="shared" si="6"/>
        <v>4.3162763721896811</v>
      </c>
      <c r="G196" s="2">
        <f t="shared" si="7"/>
        <v>0</v>
      </c>
    </row>
    <row r="197" spans="1:7" x14ac:dyDescent="0.3">
      <c r="A197" s="23">
        <v>0</v>
      </c>
      <c r="B197" s="23">
        <v>0</v>
      </c>
      <c r="C197" s="23">
        <v>1</v>
      </c>
      <c r="D197" s="22">
        <v>0</v>
      </c>
      <c r="E197" s="2">
        <v>4.3162763721896813E-2</v>
      </c>
      <c r="F197" s="2">
        <f t="shared" si="6"/>
        <v>4.3162763721896811</v>
      </c>
      <c r="G197" s="2">
        <f t="shared" si="7"/>
        <v>0</v>
      </c>
    </row>
    <row r="198" spans="1:7" x14ac:dyDescent="0.3">
      <c r="A198" s="23">
        <v>0</v>
      </c>
      <c r="B198" s="23">
        <v>0</v>
      </c>
      <c r="C198" s="23">
        <v>1</v>
      </c>
      <c r="D198" s="22">
        <v>1</v>
      </c>
      <c r="E198" s="2">
        <v>4.3162763721896813E-2</v>
      </c>
      <c r="F198" s="2">
        <f t="shared" si="6"/>
        <v>4.3162763721896811</v>
      </c>
      <c r="G198" s="2">
        <f t="shared" si="7"/>
        <v>0</v>
      </c>
    </row>
    <row r="199" spans="1:7" x14ac:dyDescent="0.3">
      <c r="A199" s="23">
        <v>0</v>
      </c>
      <c r="B199" s="23">
        <v>0</v>
      </c>
      <c r="C199" s="23">
        <v>0</v>
      </c>
      <c r="D199" s="22">
        <v>0</v>
      </c>
      <c r="E199" s="2">
        <v>0.5585152771803511</v>
      </c>
      <c r="F199" s="2">
        <f t="shared" si="6"/>
        <v>55.851527718035108</v>
      </c>
      <c r="G199" s="2">
        <f t="shared" si="7"/>
        <v>1</v>
      </c>
    </row>
    <row r="200" spans="1:7" x14ac:dyDescent="0.3">
      <c r="A200" s="24">
        <v>0</v>
      </c>
      <c r="B200" s="24">
        <v>1</v>
      </c>
      <c r="C200" s="24">
        <v>0</v>
      </c>
      <c r="D200" s="25">
        <v>1</v>
      </c>
      <c r="E200" s="2">
        <v>0.30474331654171383</v>
      </c>
      <c r="F200" s="2">
        <f t="shared" si="6"/>
        <v>30.474331654171383</v>
      </c>
      <c r="G200" s="2">
        <f t="shared" si="7"/>
        <v>0</v>
      </c>
    </row>
    <row r="201" spans="1:7" x14ac:dyDescent="0.3">
      <c r="A201" s="24">
        <v>0</v>
      </c>
      <c r="B201" s="24">
        <v>1</v>
      </c>
      <c r="C201" s="24">
        <v>1</v>
      </c>
      <c r="D201" s="25">
        <v>1</v>
      </c>
      <c r="E201" s="2">
        <v>0.15252016757894596</v>
      </c>
      <c r="F201" s="2">
        <f t="shared" si="6"/>
        <v>15.252016757894596</v>
      </c>
      <c r="G201" s="2">
        <f t="shared" si="7"/>
        <v>0</v>
      </c>
    </row>
    <row r="202" spans="1:7" x14ac:dyDescent="0.3">
      <c r="A202" s="24">
        <v>1</v>
      </c>
      <c r="B202" s="24">
        <v>0</v>
      </c>
      <c r="C202" s="24">
        <v>1</v>
      </c>
      <c r="D202" s="25">
        <v>0</v>
      </c>
      <c r="E202" s="2">
        <v>0.15252008329961986</v>
      </c>
      <c r="F202" s="2">
        <f t="shared" si="6"/>
        <v>15.252008329961985</v>
      </c>
      <c r="G202" s="2">
        <f t="shared" si="7"/>
        <v>0</v>
      </c>
    </row>
    <row r="203" spans="1:7" x14ac:dyDescent="0.3">
      <c r="A203" s="24">
        <v>0</v>
      </c>
      <c r="B203" s="24">
        <v>0</v>
      </c>
      <c r="C203" s="24">
        <v>1</v>
      </c>
      <c r="D203" s="25">
        <v>0</v>
      </c>
      <c r="E203" s="2">
        <v>0.15252062518941051</v>
      </c>
      <c r="F203" s="2">
        <f t="shared" si="6"/>
        <v>15.252062518941051</v>
      </c>
      <c r="G203" s="2">
        <f t="shared" si="7"/>
        <v>0</v>
      </c>
    </row>
    <row r="204" spans="1:7" x14ac:dyDescent="0.3">
      <c r="A204" s="24">
        <v>1</v>
      </c>
      <c r="B204" s="24">
        <v>0</v>
      </c>
      <c r="C204" s="24">
        <v>1</v>
      </c>
      <c r="D204" s="25">
        <v>0</v>
      </c>
      <c r="E204" s="2">
        <v>0.15252008329961986</v>
      </c>
      <c r="F204" s="2">
        <f t="shared" si="6"/>
        <v>15.252008329961985</v>
      </c>
      <c r="G204" s="2">
        <f t="shared" si="7"/>
        <v>0</v>
      </c>
    </row>
    <row r="205" spans="1:7" x14ac:dyDescent="0.3">
      <c r="A205" s="24">
        <v>0</v>
      </c>
      <c r="B205" s="24">
        <v>0</v>
      </c>
      <c r="C205" s="24">
        <v>1</v>
      </c>
      <c r="D205" s="25">
        <v>0</v>
      </c>
      <c r="E205" s="2">
        <v>0.15252062518941051</v>
      </c>
      <c r="F205" s="2">
        <f t="shared" si="6"/>
        <v>15.252062518941051</v>
      </c>
      <c r="G205" s="2">
        <f t="shared" si="7"/>
        <v>0</v>
      </c>
    </row>
    <row r="206" spans="1:7" x14ac:dyDescent="0.3">
      <c r="A206" s="24">
        <v>0</v>
      </c>
      <c r="B206" s="24">
        <v>1</v>
      </c>
      <c r="C206" s="24">
        <v>1</v>
      </c>
      <c r="D206" s="25">
        <v>0</v>
      </c>
      <c r="E206" s="2">
        <v>0.15252016757894596</v>
      </c>
      <c r="F206" s="2">
        <f t="shared" si="6"/>
        <v>15.252016757894596</v>
      </c>
      <c r="G206" s="2">
        <f t="shared" si="7"/>
        <v>0</v>
      </c>
    </row>
    <row r="207" spans="1:7" x14ac:dyDescent="0.3">
      <c r="A207" s="24">
        <v>0</v>
      </c>
      <c r="B207" s="24">
        <v>1</v>
      </c>
      <c r="C207" s="24">
        <v>0</v>
      </c>
      <c r="D207" s="25">
        <v>1</v>
      </c>
      <c r="E207" s="2">
        <v>0.30474331654171383</v>
      </c>
      <c r="F207" s="2">
        <f t="shared" si="6"/>
        <v>30.474331654171383</v>
      </c>
      <c r="G207" s="2">
        <f t="shared" si="7"/>
        <v>0</v>
      </c>
    </row>
    <row r="208" spans="1:7" x14ac:dyDescent="0.3">
      <c r="A208" s="24">
        <v>0</v>
      </c>
      <c r="B208" s="24">
        <v>0</v>
      </c>
      <c r="C208" s="24">
        <v>1</v>
      </c>
      <c r="D208" s="25">
        <v>0</v>
      </c>
      <c r="E208" s="2">
        <v>0.15252062518941051</v>
      </c>
      <c r="F208" s="2">
        <f t="shared" si="6"/>
        <v>15.252062518941051</v>
      </c>
      <c r="G208" s="2">
        <f t="shared" si="7"/>
        <v>0</v>
      </c>
    </row>
    <row r="209" spans="1:7" x14ac:dyDescent="0.3">
      <c r="A209" s="24">
        <v>1</v>
      </c>
      <c r="B209" s="24">
        <v>0</v>
      </c>
      <c r="C209" s="24">
        <v>0</v>
      </c>
      <c r="D209" s="25">
        <v>0</v>
      </c>
      <c r="E209" s="2">
        <v>0.15255484630415378</v>
      </c>
      <c r="F209" s="2">
        <f t="shared" si="6"/>
        <v>15.255484630415378</v>
      </c>
      <c r="G209" s="2">
        <f t="shared" si="7"/>
        <v>0</v>
      </c>
    </row>
    <row r="210" spans="1:7" x14ac:dyDescent="0.3">
      <c r="A210" s="24">
        <v>0</v>
      </c>
      <c r="B210" s="24">
        <v>1</v>
      </c>
      <c r="C210" s="24">
        <v>1</v>
      </c>
      <c r="D210" s="25">
        <v>0</v>
      </c>
      <c r="E210" s="2">
        <v>0.15252016757894596</v>
      </c>
      <c r="F210" s="2">
        <f t="shared" si="6"/>
        <v>15.252016757894596</v>
      </c>
      <c r="G210" s="2">
        <f t="shared" si="7"/>
        <v>0</v>
      </c>
    </row>
    <row r="211" spans="1:7" x14ac:dyDescent="0.3">
      <c r="A211" s="24">
        <v>1</v>
      </c>
      <c r="B211" s="24">
        <v>0</v>
      </c>
      <c r="C211" s="24">
        <v>1</v>
      </c>
      <c r="D211" s="25">
        <v>1</v>
      </c>
      <c r="E211" s="2">
        <v>0.15252008329961986</v>
      </c>
      <c r="F211" s="2">
        <f t="shared" si="6"/>
        <v>15.252008329961985</v>
      </c>
      <c r="G211" s="2">
        <f t="shared" si="7"/>
        <v>0</v>
      </c>
    </row>
    <row r="212" spans="1:7" x14ac:dyDescent="0.3">
      <c r="A212" s="24">
        <v>1</v>
      </c>
      <c r="B212" s="24">
        <v>0</v>
      </c>
      <c r="C212" s="24">
        <v>1</v>
      </c>
      <c r="D212" s="25">
        <v>1</v>
      </c>
      <c r="E212" s="2">
        <v>0.15252008329961986</v>
      </c>
      <c r="F212" s="2">
        <f t="shared" si="6"/>
        <v>15.252008329961985</v>
      </c>
      <c r="G212" s="2">
        <f t="shared" si="7"/>
        <v>0</v>
      </c>
    </row>
    <row r="213" spans="1:7" x14ac:dyDescent="0.3">
      <c r="A213" s="24">
        <v>1</v>
      </c>
      <c r="B213" s="24">
        <v>0</v>
      </c>
      <c r="C213" s="24">
        <v>0</v>
      </c>
      <c r="D213" s="25">
        <v>0</v>
      </c>
      <c r="E213" s="2">
        <v>0.15255484630415378</v>
      </c>
      <c r="F213" s="2">
        <f t="shared" si="6"/>
        <v>15.255484630415378</v>
      </c>
      <c r="G213" s="2">
        <f t="shared" si="7"/>
        <v>0</v>
      </c>
    </row>
    <row r="214" spans="1:7" x14ac:dyDescent="0.3">
      <c r="A214" s="24">
        <v>1</v>
      </c>
      <c r="B214" s="24">
        <v>0</v>
      </c>
      <c r="C214" s="24">
        <v>1</v>
      </c>
      <c r="D214" s="25">
        <v>0</v>
      </c>
      <c r="E214" s="2">
        <v>0.15252008329961986</v>
      </c>
      <c r="F214" s="2">
        <f t="shared" si="6"/>
        <v>15.252008329961985</v>
      </c>
      <c r="G214" s="2">
        <f t="shared" si="7"/>
        <v>0</v>
      </c>
    </row>
    <row r="215" spans="1:7" x14ac:dyDescent="0.3">
      <c r="A215" s="24">
        <v>0</v>
      </c>
      <c r="B215" s="24">
        <v>0</v>
      </c>
      <c r="C215" s="24">
        <v>1</v>
      </c>
      <c r="D215" s="25">
        <v>0</v>
      </c>
      <c r="E215" s="2">
        <v>0.15252062518941051</v>
      </c>
      <c r="F215" s="2">
        <f t="shared" si="6"/>
        <v>15.252062518941051</v>
      </c>
      <c r="G215" s="2">
        <f t="shared" si="7"/>
        <v>0</v>
      </c>
    </row>
    <row r="216" spans="1:7" x14ac:dyDescent="0.3">
      <c r="A216" s="24">
        <v>1</v>
      </c>
      <c r="B216" s="24">
        <v>0</v>
      </c>
      <c r="C216" s="24">
        <v>1</v>
      </c>
      <c r="D216" s="25">
        <v>1</v>
      </c>
      <c r="E216" s="2">
        <v>0.15252008329961986</v>
      </c>
      <c r="F216" s="2">
        <f t="shared" si="6"/>
        <v>15.252008329961985</v>
      </c>
      <c r="G216" s="2">
        <f t="shared" si="7"/>
        <v>0</v>
      </c>
    </row>
    <row r="217" spans="1:7" x14ac:dyDescent="0.3">
      <c r="A217" s="24">
        <v>0</v>
      </c>
      <c r="B217" s="24">
        <v>0</v>
      </c>
      <c r="C217" s="24">
        <v>0</v>
      </c>
      <c r="D217" s="25">
        <v>1</v>
      </c>
      <c r="E217" s="2">
        <v>0.83078479116359683</v>
      </c>
      <c r="F217" s="2">
        <f t="shared" si="6"/>
        <v>83.078479116359688</v>
      </c>
      <c r="G217" s="2">
        <f t="shared" si="7"/>
        <v>1</v>
      </c>
    </row>
    <row r="218" spans="1:7" x14ac:dyDescent="0.3">
      <c r="A218" s="24">
        <v>1</v>
      </c>
      <c r="B218" s="24">
        <v>0</v>
      </c>
      <c r="C218" s="24">
        <v>1</v>
      </c>
      <c r="D218" s="25">
        <v>0</v>
      </c>
      <c r="E218" s="2">
        <v>0.15252008329961986</v>
      </c>
      <c r="F218" s="2">
        <f t="shared" si="6"/>
        <v>15.252008329961985</v>
      </c>
      <c r="G218" s="2">
        <f t="shared" si="7"/>
        <v>0</v>
      </c>
    </row>
    <row r="219" spans="1:7" x14ac:dyDescent="0.3">
      <c r="A219" s="24">
        <v>0</v>
      </c>
      <c r="B219" s="24">
        <v>0</v>
      </c>
      <c r="C219" s="24">
        <v>0</v>
      </c>
      <c r="D219" s="25">
        <v>0</v>
      </c>
      <c r="E219" s="2">
        <v>0.83078479116359683</v>
      </c>
      <c r="F219" s="2">
        <f t="shared" si="6"/>
        <v>83.078479116359688</v>
      </c>
      <c r="G219" s="2">
        <f t="shared" si="7"/>
        <v>1</v>
      </c>
    </row>
    <row r="220" spans="1:7" x14ac:dyDescent="0.3">
      <c r="A220" s="24">
        <v>1</v>
      </c>
      <c r="B220" s="24">
        <v>0</v>
      </c>
      <c r="C220" s="24">
        <v>1</v>
      </c>
      <c r="D220" s="25">
        <v>0</v>
      </c>
      <c r="E220" s="2">
        <v>0.15252008329961986</v>
      </c>
      <c r="F220" s="2">
        <f t="shared" si="6"/>
        <v>15.252008329961985</v>
      </c>
      <c r="G220" s="2">
        <f t="shared" si="7"/>
        <v>0</v>
      </c>
    </row>
    <row r="221" spans="1:7" x14ac:dyDescent="0.3">
      <c r="A221" s="24">
        <v>1</v>
      </c>
      <c r="B221" s="24">
        <v>0</v>
      </c>
      <c r="C221" s="24">
        <v>0</v>
      </c>
      <c r="D221" s="25">
        <v>0</v>
      </c>
      <c r="E221" s="2">
        <v>0.15255484630415378</v>
      </c>
      <c r="F221" s="2">
        <f t="shared" si="6"/>
        <v>15.255484630415378</v>
      </c>
      <c r="G221" s="2">
        <f t="shared" si="7"/>
        <v>0</v>
      </c>
    </row>
    <row r="222" spans="1:7" x14ac:dyDescent="0.3">
      <c r="A222" s="24">
        <v>0</v>
      </c>
      <c r="B222" s="24">
        <v>1</v>
      </c>
      <c r="C222" s="24">
        <v>0</v>
      </c>
      <c r="D222" s="25">
        <v>1</v>
      </c>
      <c r="E222" s="2">
        <v>0.30474331654171383</v>
      </c>
      <c r="F222" s="2">
        <f t="shared" si="6"/>
        <v>30.474331654171383</v>
      </c>
      <c r="G222" s="2">
        <f t="shared" si="7"/>
        <v>0</v>
      </c>
    </row>
    <row r="223" spans="1:7" x14ac:dyDescent="0.3">
      <c r="A223" s="24">
        <v>1</v>
      </c>
      <c r="B223" s="24">
        <v>0</v>
      </c>
      <c r="C223" s="24">
        <v>1</v>
      </c>
      <c r="D223" s="25">
        <v>1</v>
      </c>
      <c r="E223" s="2">
        <v>0.15252008329961986</v>
      </c>
      <c r="F223" s="2">
        <f t="shared" si="6"/>
        <v>15.252008329961985</v>
      </c>
      <c r="G223" s="2">
        <f t="shared" si="7"/>
        <v>0</v>
      </c>
    </row>
    <row r="224" spans="1:7" x14ac:dyDescent="0.3">
      <c r="A224" s="24">
        <v>1</v>
      </c>
      <c r="B224" s="24">
        <v>0</v>
      </c>
      <c r="C224" s="24">
        <v>1</v>
      </c>
      <c r="D224" s="25">
        <v>1</v>
      </c>
      <c r="E224" s="2">
        <v>0.15252008329961986</v>
      </c>
      <c r="F224" s="2">
        <f t="shared" si="6"/>
        <v>15.252008329961985</v>
      </c>
      <c r="G224" s="2">
        <f t="shared" si="7"/>
        <v>0</v>
      </c>
    </row>
    <row r="225" spans="1:7" x14ac:dyDescent="0.3">
      <c r="A225" s="24">
        <v>0</v>
      </c>
      <c r="B225" s="24">
        <v>0</v>
      </c>
      <c r="C225" s="24">
        <v>0</v>
      </c>
      <c r="D225" s="25">
        <v>1</v>
      </c>
      <c r="E225" s="2">
        <v>0.83078479116359683</v>
      </c>
      <c r="F225" s="2">
        <f t="shared" si="6"/>
        <v>83.078479116359688</v>
      </c>
      <c r="G225" s="2">
        <f t="shared" si="7"/>
        <v>1</v>
      </c>
    </row>
    <row r="226" spans="1:7" x14ac:dyDescent="0.3">
      <c r="A226" s="24">
        <v>0</v>
      </c>
      <c r="B226" s="24">
        <v>1</v>
      </c>
      <c r="C226" s="24">
        <v>1</v>
      </c>
      <c r="D226" s="25">
        <v>0</v>
      </c>
      <c r="E226" s="2">
        <v>0.15252016757894596</v>
      </c>
      <c r="F226" s="2">
        <f t="shared" si="6"/>
        <v>15.252016757894596</v>
      </c>
      <c r="G226" s="2">
        <f t="shared" si="7"/>
        <v>0</v>
      </c>
    </row>
    <row r="227" spans="1:7" x14ac:dyDescent="0.3">
      <c r="A227" s="24">
        <v>0</v>
      </c>
      <c r="B227" s="24">
        <v>0</v>
      </c>
      <c r="C227" s="24">
        <v>0</v>
      </c>
      <c r="D227" s="25">
        <v>0</v>
      </c>
      <c r="E227" s="2">
        <v>0.83078479116359683</v>
      </c>
      <c r="F227" s="2">
        <f t="shared" si="6"/>
        <v>83.078479116359688</v>
      </c>
      <c r="G227" s="2">
        <f t="shared" si="7"/>
        <v>1</v>
      </c>
    </row>
    <row r="228" spans="1:7" x14ac:dyDescent="0.3">
      <c r="A228" s="24">
        <v>0</v>
      </c>
      <c r="B228" s="24">
        <v>0</v>
      </c>
      <c r="C228" s="24">
        <v>1</v>
      </c>
      <c r="D228" s="25">
        <v>1</v>
      </c>
      <c r="E228" s="2">
        <v>0.15252062518941051</v>
      </c>
      <c r="F228" s="2">
        <f t="shared" si="6"/>
        <v>15.252062518941051</v>
      </c>
      <c r="G228" s="2">
        <f t="shared" si="7"/>
        <v>0</v>
      </c>
    </row>
    <row r="229" spans="1:7" x14ac:dyDescent="0.3">
      <c r="A229" s="24">
        <v>0</v>
      </c>
      <c r="B229" s="24">
        <v>0</v>
      </c>
      <c r="C229" s="24">
        <v>0</v>
      </c>
      <c r="D229" s="25">
        <v>1</v>
      </c>
      <c r="E229" s="2">
        <v>0.83078479116359683</v>
      </c>
      <c r="F229" s="2">
        <f t="shared" si="6"/>
        <v>83.078479116359688</v>
      </c>
      <c r="G229" s="2">
        <f t="shared" si="7"/>
        <v>1</v>
      </c>
    </row>
    <row r="230" spans="1:7" x14ac:dyDescent="0.3">
      <c r="A230" s="24">
        <v>0</v>
      </c>
      <c r="B230" s="24">
        <v>1</v>
      </c>
      <c r="C230" s="24">
        <v>0</v>
      </c>
      <c r="D230" s="25">
        <v>0</v>
      </c>
      <c r="E230" s="2">
        <v>0.30474331654171383</v>
      </c>
      <c r="F230" s="2">
        <f t="shared" si="6"/>
        <v>30.474331654171383</v>
      </c>
      <c r="G230" s="2">
        <f t="shared" si="7"/>
        <v>0</v>
      </c>
    </row>
    <row r="231" spans="1:7" x14ac:dyDescent="0.3">
      <c r="A231" s="24">
        <v>1</v>
      </c>
      <c r="B231" s="24">
        <v>0</v>
      </c>
      <c r="C231" s="24">
        <v>1</v>
      </c>
      <c r="D231" s="25">
        <v>0</v>
      </c>
      <c r="E231" s="2">
        <v>0.15252008329961986</v>
      </c>
      <c r="F231" s="2">
        <f t="shared" si="6"/>
        <v>15.252008329961985</v>
      </c>
      <c r="G231" s="2">
        <f t="shared" si="7"/>
        <v>0</v>
      </c>
    </row>
    <row r="232" spans="1:7" x14ac:dyDescent="0.3">
      <c r="A232" s="24">
        <v>1</v>
      </c>
      <c r="B232" s="24">
        <v>0</v>
      </c>
      <c r="C232" s="24">
        <v>1</v>
      </c>
      <c r="D232" s="25">
        <v>1</v>
      </c>
      <c r="E232" s="2">
        <v>0.15252008329961986</v>
      </c>
      <c r="F232" s="2">
        <f t="shared" si="6"/>
        <v>15.252008329961985</v>
      </c>
      <c r="G232" s="2">
        <f t="shared" si="7"/>
        <v>0</v>
      </c>
    </row>
    <row r="233" spans="1:7" x14ac:dyDescent="0.3">
      <c r="A233" s="24">
        <v>0</v>
      </c>
      <c r="B233" s="24">
        <v>1</v>
      </c>
      <c r="C233" s="24">
        <v>1</v>
      </c>
      <c r="D233" s="25">
        <v>0</v>
      </c>
      <c r="E233" s="2">
        <v>0.15252016757894596</v>
      </c>
      <c r="F233" s="2">
        <f t="shared" si="6"/>
        <v>15.252016757894596</v>
      </c>
      <c r="G233" s="2">
        <f t="shared" si="7"/>
        <v>0</v>
      </c>
    </row>
    <row r="234" spans="1:7" x14ac:dyDescent="0.3">
      <c r="A234" s="24">
        <v>1</v>
      </c>
      <c r="B234" s="24">
        <v>0</v>
      </c>
      <c r="C234" s="24">
        <v>1</v>
      </c>
      <c r="D234" s="25">
        <v>0</v>
      </c>
      <c r="E234" s="2">
        <v>0.15252008329961986</v>
      </c>
      <c r="F234" s="2">
        <f t="shared" si="6"/>
        <v>15.252008329961985</v>
      </c>
      <c r="G234" s="2">
        <f t="shared" si="7"/>
        <v>0</v>
      </c>
    </row>
    <row r="235" spans="1:7" x14ac:dyDescent="0.3">
      <c r="A235" s="24">
        <v>0</v>
      </c>
      <c r="B235" s="24">
        <v>1</v>
      </c>
      <c r="C235" s="24">
        <v>0</v>
      </c>
      <c r="D235" s="25">
        <v>0</v>
      </c>
      <c r="E235" s="2">
        <v>0.30474331654171383</v>
      </c>
      <c r="F235" s="2">
        <f t="shared" si="6"/>
        <v>30.474331654171383</v>
      </c>
      <c r="G235" s="2">
        <f t="shared" si="7"/>
        <v>0</v>
      </c>
    </row>
    <row r="236" spans="1:7" x14ac:dyDescent="0.3">
      <c r="A236" s="24">
        <v>0</v>
      </c>
      <c r="B236" s="24">
        <v>0</v>
      </c>
      <c r="C236" s="24">
        <v>0</v>
      </c>
      <c r="D236" s="25">
        <v>0</v>
      </c>
      <c r="E236" s="2">
        <v>0.83078479116359683</v>
      </c>
      <c r="F236" s="2">
        <f t="shared" si="6"/>
        <v>83.078479116359688</v>
      </c>
      <c r="G236" s="2">
        <f t="shared" si="7"/>
        <v>1</v>
      </c>
    </row>
    <row r="237" spans="1:7" x14ac:dyDescent="0.3">
      <c r="A237" s="24">
        <v>1</v>
      </c>
      <c r="B237" s="24">
        <v>0</v>
      </c>
      <c r="C237" s="24">
        <v>1</v>
      </c>
      <c r="D237" s="25">
        <v>0</v>
      </c>
      <c r="E237" s="2">
        <v>0.15252008329961986</v>
      </c>
      <c r="F237" s="2">
        <f t="shared" si="6"/>
        <v>15.252008329961985</v>
      </c>
      <c r="G237" s="2">
        <f t="shared" si="7"/>
        <v>0</v>
      </c>
    </row>
    <row r="238" spans="1:7" x14ac:dyDescent="0.3">
      <c r="A238" s="24">
        <v>0</v>
      </c>
      <c r="B238" s="24">
        <v>0</v>
      </c>
      <c r="C238" s="24">
        <v>1</v>
      </c>
      <c r="D238" s="25">
        <v>1</v>
      </c>
      <c r="E238" s="2">
        <v>0.15252062518941051</v>
      </c>
      <c r="F238" s="2">
        <f t="shared" si="6"/>
        <v>15.252062518941051</v>
      </c>
      <c r="G238" s="2">
        <f t="shared" si="7"/>
        <v>0</v>
      </c>
    </row>
    <row r="239" spans="1:7" x14ac:dyDescent="0.3">
      <c r="A239" s="24">
        <v>0</v>
      </c>
      <c r="B239" s="24">
        <v>0</v>
      </c>
      <c r="C239" s="24">
        <v>1</v>
      </c>
      <c r="D239" s="25">
        <v>0</v>
      </c>
      <c r="E239" s="2">
        <v>0.15252062518941051</v>
      </c>
      <c r="F239" s="2">
        <f t="shared" si="6"/>
        <v>15.252062518941051</v>
      </c>
      <c r="G239" s="2">
        <f t="shared" si="7"/>
        <v>0</v>
      </c>
    </row>
    <row r="240" spans="1:7" x14ac:dyDescent="0.3">
      <c r="A240" s="24">
        <v>0</v>
      </c>
      <c r="B240" s="24">
        <v>0</v>
      </c>
      <c r="C240" s="24">
        <v>0</v>
      </c>
      <c r="D240" s="25">
        <v>1</v>
      </c>
      <c r="E240" s="2">
        <v>0.83078479116359683</v>
      </c>
      <c r="F240" s="2">
        <f t="shared" si="6"/>
        <v>83.078479116359688</v>
      </c>
      <c r="G240" s="2">
        <f t="shared" si="7"/>
        <v>1</v>
      </c>
    </row>
    <row r="241" spans="1:7" x14ac:dyDescent="0.3">
      <c r="A241" s="24">
        <v>1</v>
      </c>
      <c r="B241" s="24">
        <v>0</v>
      </c>
      <c r="C241" s="24">
        <v>0</v>
      </c>
      <c r="D241" s="25">
        <v>0</v>
      </c>
      <c r="E241" s="2">
        <v>0.15255484630415378</v>
      </c>
      <c r="F241" s="2">
        <f t="shared" si="6"/>
        <v>15.255484630415378</v>
      </c>
      <c r="G241" s="2">
        <f t="shared" si="7"/>
        <v>0</v>
      </c>
    </row>
    <row r="242" spans="1:7" x14ac:dyDescent="0.3">
      <c r="A242" s="24">
        <v>0</v>
      </c>
      <c r="B242" s="24">
        <v>0</v>
      </c>
      <c r="C242" s="24">
        <v>1</v>
      </c>
      <c r="D242" s="25">
        <v>1</v>
      </c>
      <c r="E242" s="2">
        <v>0.15252062518941051</v>
      </c>
      <c r="F242" s="2">
        <f t="shared" si="6"/>
        <v>15.252062518941051</v>
      </c>
      <c r="G242" s="2">
        <f t="shared" si="7"/>
        <v>0</v>
      </c>
    </row>
    <row r="243" spans="1:7" x14ac:dyDescent="0.3">
      <c r="A243" s="24">
        <v>1</v>
      </c>
      <c r="B243" s="24">
        <v>0</v>
      </c>
      <c r="C243" s="24">
        <v>1</v>
      </c>
      <c r="D243" s="25">
        <v>0</v>
      </c>
      <c r="E243" s="2">
        <v>0.15252008329961986</v>
      </c>
      <c r="F243" s="2">
        <f t="shared" si="6"/>
        <v>15.252008329961985</v>
      </c>
      <c r="G243" s="2">
        <f t="shared" si="7"/>
        <v>0</v>
      </c>
    </row>
    <row r="244" spans="1:7" x14ac:dyDescent="0.3">
      <c r="A244" s="24">
        <v>0</v>
      </c>
      <c r="B244" s="24">
        <v>0</v>
      </c>
      <c r="C244" s="24">
        <v>1</v>
      </c>
      <c r="D244" s="25">
        <v>0</v>
      </c>
      <c r="E244" s="2">
        <v>0.15252062518941051</v>
      </c>
      <c r="F244" s="2">
        <f t="shared" si="6"/>
        <v>15.252062518941051</v>
      </c>
      <c r="G244" s="2">
        <f t="shared" si="7"/>
        <v>0</v>
      </c>
    </row>
    <row r="245" spans="1:7" x14ac:dyDescent="0.3">
      <c r="A245" s="24">
        <v>0</v>
      </c>
      <c r="B245" s="24">
        <v>1</v>
      </c>
      <c r="C245" s="24">
        <v>1</v>
      </c>
      <c r="D245" s="25">
        <v>1</v>
      </c>
      <c r="E245" s="2">
        <v>0.15252016757894596</v>
      </c>
      <c r="F245" s="2">
        <f t="shared" si="6"/>
        <v>15.252016757894596</v>
      </c>
      <c r="G245" s="2">
        <f t="shared" si="7"/>
        <v>0</v>
      </c>
    </row>
    <row r="246" spans="1:7" x14ac:dyDescent="0.3">
      <c r="A246" s="24">
        <v>0</v>
      </c>
      <c r="B246" s="24">
        <v>1</v>
      </c>
      <c r="C246" s="24">
        <v>0</v>
      </c>
      <c r="D246" s="25">
        <v>1</v>
      </c>
      <c r="E246" s="2">
        <v>0.30474331654171383</v>
      </c>
      <c r="F246" s="2">
        <f t="shared" si="6"/>
        <v>30.474331654171383</v>
      </c>
      <c r="G246" s="2">
        <f t="shared" si="7"/>
        <v>0</v>
      </c>
    </row>
    <row r="247" spans="1:7" x14ac:dyDescent="0.3">
      <c r="A247" s="24">
        <v>0</v>
      </c>
      <c r="B247" s="24">
        <v>0</v>
      </c>
      <c r="C247" s="24">
        <v>1</v>
      </c>
      <c r="D247" s="25">
        <v>1</v>
      </c>
      <c r="E247" s="2">
        <v>0.15252062518941051</v>
      </c>
      <c r="F247" s="2">
        <f t="shared" si="6"/>
        <v>15.252062518941051</v>
      </c>
      <c r="G247" s="2">
        <f t="shared" si="7"/>
        <v>0</v>
      </c>
    </row>
    <row r="248" spans="1:7" x14ac:dyDescent="0.3">
      <c r="A248" s="24">
        <v>1</v>
      </c>
      <c r="B248" s="24">
        <v>0</v>
      </c>
      <c r="C248" s="24">
        <v>1</v>
      </c>
      <c r="D248" s="25">
        <v>0</v>
      </c>
      <c r="E248" s="2">
        <v>0.15252008329961986</v>
      </c>
      <c r="F248" s="2">
        <f t="shared" si="6"/>
        <v>15.252008329961985</v>
      </c>
      <c r="G248" s="2">
        <f t="shared" si="7"/>
        <v>0</v>
      </c>
    </row>
    <row r="249" spans="1:7" x14ac:dyDescent="0.3">
      <c r="A249" s="24">
        <v>0</v>
      </c>
      <c r="B249" s="24">
        <v>0</v>
      </c>
      <c r="C249" s="24">
        <v>1</v>
      </c>
      <c r="D249" s="25">
        <v>0</v>
      </c>
      <c r="E249" s="2">
        <v>0.15252062518941051</v>
      </c>
      <c r="F249" s="2">
        <f t="shared" si="6"/>
        <v>15.252062518941051</v>
      </c>
      <c r="G249" s="2">
        <f t="shared" si="7"/>
        <v>0</v>
      </c>
    </row>
    <row r="250" spans="1:7" x14ac:dyDescent="0.3">
      <c r="A250" s="24">
        <v>0</v>
      </c>
      <c r="B250" s="24">
        <v>1</v>
      </c>
      <c r="C250" s="24">
        <v>0</v>
      </c>
      <c r="D250" s="25">
        <v>0</v>
      </c>
      <c r="E250" s="2">
        <v>0.30474331654171383</v>
      </c>
      <c r="F250" s="2">
        <f t="shared" si="6"/>
        <v>30.474331654171383</v>
      </c>
      <c r="G250" s="2">
        <f t="shared" si="7"/>
        <v>0</v>
      </c>
    </row>
    <row r="251" spans="1:7" x14ac:dyDescent="0.3">
      <c r="A251" s="24">
        <v>0</v>
      </c>
      <c r="B251" s="24">
        <v>0</v>
      </c>
      <c r="C251" s="24">
        <v>1</v>
      </c>
      <c r="D251" s="25">
        <v>0</v>
      </c>
      <c r="E251" s="2">
        <v>0.15252062518941051</v>
      </c>
      <c r="F251" s="2">
        <f t="shared" si="6"/>
        <v>15.252062518941051</v>
      </c>
      <c r="G251" s="2">
        <f t="shared" si="7"/>
        <v>0</v>
      </c>
    </row>
    <row r="252" spans="1:7" x14ac:dyDescent="0.3">
      <c r="A252" s="24">
        <v>0</v>
      </c>
      <c r="B252" s="24">
        <v>1</v>
      </c>
      <c r="C252" s="24">
        <v>0</v>
      </c>
      <c r="D252" s="25">
        <v>0</v>
      </c>
      <c r="E252" s="2">
        <v>0.30474331654171383</v>
      </c>
      <c r="F252" s="2">
        <f t="shared" si="6"/>
        <v>30.474331654171383</v>
      </c>
      <c r="G252" s="2">
        <f t="shared" si="7"/>
        <v>0</v>
      </c>
    </row>
    <row r="253" spans="1:7" x14ac:dyDescent="0.3">
      <c r="A253" s="24">
        <v>0</v>
      </c>
      <c r="B253" s="24">
        <v>0</v>
      </c>
      <c r="C253" s="24">
        <v>1</v>
      </c>
      <c r="D253" s="25">
        <v>0</v>
      </c>
      <c r="E253" s="2">
        <v>0.15252062518941051</v>
      </c>
      <c r="F253" s="2">
        <f t="shared" si="6"/>
        <v>15.252062518941051</v>
      </c>
      <c r="G253" s="2">
        <f t="shared" si="7"/>
        <v>0</v>
      </c>
    </row>
    <row r="254" spans="1:7" x14ac:dyDescent="0.3">
      <c r="A254" s="24">
        <v>0</v>
      </c>
      <c r="B254" s="24">
        <v>0</v>
      </c>
      <c r="C254" s="24">
        <v>1</v>
      </c>
      <c r="D254" s="25">
        <v>0</v>
      </c>
      <c r="E254" s="2">
        <v>0.15252062518941051</v>
      </c>
      <c r="F254" s="2">
        <f t="shared" si="6"/>
        <v>15.252062518941051</v>
      </c>
      <c r="G254" s="2">
        <f t="shared" si="7"/>
        <v>0</v>
      </c>
    </row>
    <row r="255" spans="1:7" x14ac:dyDescent="0.3">
      <c r="A255" s="24">
        <v>0</v>
      </c>
      <c r="B255" s="24">
        <v>1</v>
      </c>
      <c r="C255" s="24">
        <v>0</v>
      </c>
      <c r="D255" s="25">
        <v>0</v>
      </c>
      <c r="E255" s="2">
        <v>0.30474331654171383</v>
      </c>
      <c r="F255" s="2">
        <f t="shared" si="6"/>
        <v>30.474331654171383</v>
      </c>
      <c r="G255" s="2">
        <f t="shared" si="7"/>
        <v>0</v>
      </c>
    </row>
    <row r="256" spans="1:7" x14ac:dyDescent="0.3">
      <c r="A256" s="24">
        <v>1</v>
      </c>
      <c r="B256" s="24">
        <v>0</v>
      </c>
      <c r="C256" s="24">
        <v>1</v>
      </c>
      <c r="D256" s="25">
        <v>1</v>
      </c>
      <c r="E256" s="2">
        <v>0.15252008329961986</v>
      </c>
      <c r="F256" s="2">
        <f t="shared" si="6"/>
        <v>15.252008329961985</v>
      </c>
      <c r="G256" s="2">
        <f t="shared" si="7"/>
        <v>0</v>
      </c>
    </row>
    <row r="257" spans="1:7" x14ac:dyDescent="0.3">
      <c r="A257" s="24">
        <v>0</v>
      </c>
      <c r="B257" s="24">
        <v>1</v>
      </c>
      <c r="C257" s="24">
        <v>0</v>
      </c>
      <c r="D257" s="25">
        <v>0</v>
      </c>
      <c r="E257" s="2">
        <v>0.30474331654171383</v>
      </c>
      <c r="F257" s="2">
        <f t="shared" si="6"/>
        <v>30.474331654171383</v>
      </c>
      <c r="G257" s="2">
        <f t="shared" si="7"/>
        <v>0</v>
      </c>
    </row>
    <row r="258" spans="1:7" x14ac:dyDescent="0.3">
      <c r="A258" s="24">
        <v>0</v>
      </c>
      <c r="B258" s="24">
        <v>1</v>
      </c>
      <c r="C258" s="24">
        <v>1</v>
      </c>
      <c r="D258" s="25">
        <v>1</v>
      </c>
      <c r="E258" s="2">
        <v>0.15252016757894596</v>
      </c>
      <c r="F258" s="2">
        <f t="shared" si="6"/>
        <v>15.252016757894596</v>
      </c>
      <c r="G258" s="2">
        <f t="shared" si="7"/>
        <v>0</v>
      </c>
    </row>
    <row r="259" spans="1:7" x14ac:dyDescent="0.3">
      <c r="A259" s="24">
        <v>0</v>
      </c>
      <c r="B259" s="24">
        <v>1</v>
      </c>
      <c r="C259" s="24">
        <v>1</v>
      </c>
      <c r="D259" s="25">
        <v>0</v>
      </c>
      <c r="E259" s="2">
        <v>0.15252016757894596</v>
      </c>
      <c r="F259" s="2">
        <f t="shared" ref="F259:F266" si="8">E259*100</f>
        <v>15.252016757894596</v>
      </c>
      <c r="G259" s="2">
        <f t="shared" ref="G259:G266" si="9">IF(F259&gt;50, 1, 0)</f>
        <v>0</v>
      </c>
    </row>
    <row r="260" spans="1:7" x14ac:dyDescent="0.3">
      <c r="A260" s="24">
        <v>1</v>
      </c>
      <c r="B260" s="24">
        <v>0</v>
      </c>
      <c r="C260" s="24">
        <v>1</v>
      </c>
      <c r="D260" s="25">
        <v>0</v>
      </c>
      <c r="E260" s="2">
        <v>0.15252008329961986</v>
      </c>
      <c r="F260" s="2">
        <f t="shared" si="8"/>
        <v>15.252008329961985</v>
      </c>
      <c r="G260" s="2">
        <f t="shared" si="9"/>
        <v>0</v>
      </c>
    </row>
    <row r="261" spans="1:7" x14ac:dyDescent="0.3">
      <c r="A261" s="24">
        <v>1</v>
      </c>
      <c r="B261" s="24">
        <v>0</v>
      </c>
      <c r="C261" s="24">
        <v>1</v>
      </c>
      <c r="D261" s="25">
        <v>0</v>
      </c>
      <c r="E261" s="2">
        <v>0.15252008329961986</v>
      </c>
      <c r="F261" s="2">
        <f t="shared" si="8"/>
        <v>15.252008329961985</v>
      </c>
      <c r="G261" s="2">
        <f t="shared" si="9"/>
        <v>0</v>
      </c>
    </row>
    <row r="262" spans="1:7" x14ac:dyDescent="0.3">
      <c r="A262" s="24">
        <v>0</v>
      </c>
      <c r="B262" s="24">
        <v>1</v>
      </c>
      <c r="C262" s="24">
        <v>1</v>
      </c>
      <c r="D262" s="25">
        <v>1</v>
      </c>
      <c r="E262" s="2">
        <v>0.15252016757894596</v>
      </c>
      <c r="F262" s="2">
        <f t="shared" si="8"/>
        <v>15.252016757894596</v>
      </c>
      <c r="G262" s="2">
        <f t="shared" si="9"/>
        <v>0</v>
      </c>
    </row>
    <row r="263" spans="1:7" x14ac:dyDescent="0.3">
      <c r="A263" s="24">
        <v>0</v>
      </c>
      <c r="B263" s="24">
        <v>0</v>
      </c>
      <c r="C263" s="24">
        <v>0</v>
      </c>
      <c r="D263" s="25">
        <v>0</v>
      </c>
      <c r="E263" s="2">
        <v>0.83078479116359683</v>
      </c>
      <c r="F263" s="2">
        <f t="shared" si="8"/>
        <v>83.078479116359688</v>
      </c>
      <c r="G263" s="2">
        <f t="shared" si="9"/>
        <v>1</v>
      </c>
    </row>
    <row r="264" spans="1:7" x14ac:dyDescent="0.3">
      <c r="A264" s="24">
        <v>0</v>
      </c>
      <c r="B264" s="24">
        <v>0</v>
      </c>
      <c r="C264" s="24">
        <v>0</v>
      </c>
      <c r="D264" s="25">
        <v>1</v>
      </c>
      <c r="E264" s="2">
        <v>0.83078479116359683</v>
      </c>
      <c r="F264" s="2">
        <f t="shared" si="8"/>
        <v>83.078479116359688</v>
      </c>
      <c r="G264" s="2">
        <f t="shared" si="9"/>
        <v>1</v>
      </c>
    </row>
    <row r="265" spans="1:7" x14ac:dyDescent="0.3">
      <c r="A265" s="24">
        <v>0</v>
      </c>
      <c r="B265" s="24">
        <v>1</v>
      </c>
      <c r="C265" s="24">
        <v>0</v>
      </c>
      <c r="D265" s="25">
        <v>0</v>
      </c>
      <c r="E265" s="2">
        <v>0.30474331654171383</v>
      </c>
      <c r="F265" s="2">
        <f t="shared" si="8"/>
        <v>30.474331654171383</v>
      </c>
      <c r="G265" s="2">
        <f t="shared" si="9"/>
        <v>0</v>
      </c>
    </row>
    <row r="266" spans="1:7" x14ac:dyDescent="0.3">
      <c r="A266" s="24">
        <v>0</v>
      </c>
      <c r="B266" s="24">
        <v>0</v>
      </c>
      <c r="C266" s="24">
        <v>1</v>
      </c>
      <c r="D266" s="25">
        <v>0</v>
      </c>
      <c r="E266" s="2">
        <v>0.15252062518941051</v>
      </c>
      <c r="F266" s="2">
        <f t="shared" si="8"/>
        <v>15.252062518941051</v>
      </c>
      <c r="G266" s="2">
        <f t="shared" si="9"/>
        <v>0</v>
      </c>
    </row>
    <row r="267" spans="1:7" x14ac:dyDescent="0.3">
      <c r="A267"/>
      <c r="B267"/>
      <c r="C267"/>
    </row>
    <row r="268" spans="1:7" x14ac:dyDescent="0.3">
      <c r="A268"/>
      <c r="B268"/>
      <c r="C268"/>
    </row>
    <row r="269" spans="1:7" x14ac:dyDescent="0.3">
      <c r="A269"/>
      <c r="B269"/>
      <c r="C269"/>
    </row>
    <row r="270" spans="1:7" x14ac:dyDescent="0.3">
      <c r="A270"/>
      <c r="B270"/>
      <c r="C270"/>
    </row>
    <row r="271" spans="1:7" x14ac:dyDescent="0.3">
      <c r="A271"/>
      <c r="B271"/>
      <c r="C271"/>
    </row>
    <row r="272" spans="1:7" x14ac:dyDescent="0.3">
      <c r="A272"/>
      <c r="B272"/>
      <c r="C272"/>
    </row>
    <row r="273" spans="1:10" x14ac:dyDescent="0.3">
      <c r="A273"/>
      <c r="B273"/>
      <c r="C273"/>
    </row>
    <row r="274" spans="1:10" x14ac:dyDescent="0.3">
      <c r="A274"/>
      <c r="B274"/>
      <c r="C274"/>
    </row>
    <row r="275" spans="1:10" x14ac:dyDescent="0.3">
      <c r="A275"/>
      <c r="B275"/>
      <c r="C275"/>
    </row>
    <row r="276" spans="1:10" x14ac:dyDescent="0.3">
      <c r="A276"/>
      <c r="B276"/>
      <c r="C276"/>
    </row>
    <row r="277" spans="1:10" x14ac:dyDescent="0.3">
      <c r="A277"/>
      <c r="B277"/>
      <c r="C277"/>
    </row>
    <row r="278" spans="1:10" x14ac:dyDescent="0.3">
      <c r="A278"/>
      <c r="B278"/>
      <c r="C278"/>
    </row>
    <row r="279" spans="1:10" x14ac:dyDescent="0.3">
      <c r="A279"/>
      <c r="B279"/>
      <c r="C279"/>
    </row>
    <row r="280" spans="1:10" x14ac:dyDescent="0.3">
      <c r="A280"/>
      <c r="B280"/>
      <c r="C280"/>
    </row>
    <row r="281" spans="1:10" x14ac:dyDescent="0.3">
      <c r="A281"/>
      <c r="B281"/>
      <c r="C281"/>
    </row>
    <row r="282" spans="1:10" x14ac:dyDescent="0.3">
      <c r="A282"/>
      <c r="B282"/>
      <c r="C282"/>
    </row>
    <row r="283" spans="1:10" x14ac:dyDescent="0.3">
      <c r="A283"/>
      <c r="B283"/>
      <c r="C283"/>
    </row>
    <row r="284" spans="1:10" x14ac:dyDescent="0.3">
      <c r="A284"/>
      <c r="B284"/>
      <c r="C284"/>
    </row>
    <row r="285" spans="1:10" x14ac:dyDescent="0.3">
      <c r="A285"/>
      <c r="B285"/>
      <c r="C285"/>
    </row>
    <row r="286" spans="1:10" x14ac:dyDescent="0.3">
      <c r="A286"/>
      <c r="B286"/>
      <c r="C286"/>
    </row>
    <row r="287" spans="1:10" x14ac:dyDescent="0.3">
      <c r="A287"/>
      <c r="B287"/>
      <c r="C287"/>
    </row>
    <row r="288" spans="1:10" x14ac:dyDescent="0.3">
      <c r="A288">
        <v>3</v>
      </c>
      <c r="E288" t="s">
        <v>23</v>
      </c>
      <c r="F288"/>
      <c r="G288">
        <v>0</v>
      </c>
      <c r="H288">
        <v>0</v>
      </c>
      <c r="I288">
        <v>7.8792</v>
      </c>
      <c r="J288">
        <v>0</v>
      </c>
    </row>
    <row r="289" spans="1:10" x14ac:dyDescent="0.3">
      <c r="A289">
        <v>3</v>
      </c>
      <c r="E289" t="s">
        <v>23</v>
      </c>
      <c r="F289"/>
      <c r="G289">
        <v>0</v>
      </c>
      <c r="H289">
        <v>0</v>
      </c>
      <c r="I289">
        <v>7.75</v>
      </c>
      <c r="J289">
        <v>0</v>
      </c>
    </row>
    <row r="290" spans="1:10" x14ac:dyDescent="0.3">
      <c r="A290"/>
      <c r="B290"/>
      <c r="C290"/>
    </row>
    <row r="291" spans="1:10" x14ac:dyDescent="0.3">
      <c r="A291"/>
      <c r="B291"/>
      <c r="C291"/>
    </row>
    <row r="292" spans="1:10" x14ac:dyDescent="0.3">
      <c r="A292"/>
      <c r="B292"/>
      <c r="C292"/>
    </row>
    <row r="293" spans="1:10" x14ac:dyDescent="0.3">
      <c r="A293"/>
      <c r="B293"/>
      <c r="C293"/>
    </row>
    <row r="294" spans="1:10" x14ac:dyDescent="0.3">
      <c r="A294"/>
      <c r="B294"/>
      <c r="C294"/>
    </row>
    <row r="295" spans="1:10" x14ac:dyDescent="0.3">
      <c r="A295"/>
      <c r="B295"/>
      <c r="C295"/>
    </row>
    <row r="296" spans="1:10" x14ac:dyDescent="0.3">
      <c r="A296">
        <v>3</v>
      </c>
      <c r="E296" t="s">
        <v>26</v>
      </c>
      <c r="F296"/>
      <c r="G296">
        <v>1</v>
      </c>
      <c r="H296">
        <v>9</v>
      </c>
      <c r="I296">
        <v>69.55</v>
      </c>
      <c r="J296">
        <v>0</v>
      </c>
    </row>
    <row r="297" spans="1:10" x14ac:dyDescent="0.3">
      <c r="A297">
        <v>3</v>
      </c>
      <c r="E297" t="s">
        <v>23</v>
      </c>
      <c r="F297"/>
      <c r="G297">
        <v>1</v>
      </c>
      <c r="H297">
        <v>0</v>
      </c>
      <c r="I297">
        <v>14.458299999999999</v>
      </c>
      <c r="J297">
        <v>0</v>
      </c>
    </row>
    <row r="298" spans="1:10" x14ac:dyDescent="0.3">
      <c r="A298"/>
      <c r="B298"/>
      <c r="C298"/>
    </row>
    <row r="299" spans="1:10" x14ac:dyDescent="0.3">
      <c r="A299"/>
      <c r="B299"/>
      <c r="C299"/>
    </row>
    <row r="300" spans="1:10" x14ac:dyDescent="0.3">
      <c r="A300"/>
      <c r="B300"/>
      <c r="C300"/>
    </row>
    <row r="301" spans="1:10" x14ac:dyDescent="0.3">
      <c r="A301"/>
      <c r="B301"/>
      <c r="C301"/>
    </row>
    <row r="302" spans="1:10" x14ac:dyDescent="0.3">
      <c r="A302"/>
      <c r="B302"/>
      <c r="C302"/>
    </row>
    <row r="303" spans="1:10" x14ac:dyDescent="0.3">
      <c r="A303"/>
      <c r="B303"/>
      <c r="C303"/>
    </row>
    <row r="304" spans="1:10" x14ac:dyDescent="0.3">
      <c r="A304"/>
      <c r="B304"/>
      <c r="C304"/>
    </row>
    <row r="305" spans="1:10" x14ac:dyDescent="0.3">
      <c r="A305"/>
      <c r="B305"/>
      <c r="C305"/>
    </row>
    <row r="306" spans="1:10" x14ac:dyDescent="0.3">
      <c r="A306"/>
      <c r="B306"/>
      <c r="C306"/>
    </row>
    <row r="307" spans="1:10" x14ac:dyDescent="0.3">
      <c r="A307"/>
      <c r="B307"/>
      <c r="C307"/>
    </row>
    <row r="308" spans="1:10" x14ac:dyDescent="0.3">
      <c r="A308"/>
      <c r="B308"/>
      <c r="C308"/>
    </row>
    <row r="309" spans="1:10" x14ac:dyDescent="0.3">
      <c r="A309"/>
      <c r="B309"/>
      <c r="C309"/>
    </row>
    <row r="310" spans="1:10" x14ac:dyDescent="0.3">
      <c r="A310"/>
      <c r="B310"/>
      <c r="C310"/>
    </row>
    <row r="311" spans="1:10" x14ac:dyDescent="0.3">
      <c r="A311">
        <v>3</v>
      </c>
      <c r="E311" t="s">
        <v>23</v>
      </c>
      <c r="F311"/>
      <c r="G311">
        <v>0</v>
      </c>
      <c r="H311">
        <v>0</v>
      </c>
      <c r="I311">
        <v>7.75</v>
      </c>
      <c r="J311">
        <v>0</v>
      </c>
    </row>
    <row r="312" spans="1:10" x14ac:dyDescent="0.3">
      <c r="A312"/>
      <c r="B312"/>
      <c r="C312"/>
    </row>
    <row r="313" spans="1:10" x14ac:dyDescent="0.3">
      <c r="A313">
        <v>3</v>
      </c>
      <c r="E313" t="s">
        <v>26</v>
      </c>
      <c r="F313"/>
      <c r="G313">
        <v>0</v>
      </c>
      <c r="H313">
        <v>0</v>
      </c>
      <c r="I313">
        <v>14.5</v>
      </c>
      <c r="J313">
        <v>1</v>
      </c>
    </row>
    <row r="314" spans="1:10" x14ac:dyDescent="0.3">
      <c r="A314"/>
      <c r="B314"/>
      <c r="C314"/>
    </row>
    <row r="315" spans="1:10" x14ac:dyDescent="0.3">
      <c r="A315">
        <v>2</v>
      </c>
      <c r="E315" t="s">
        <v>23</v>
      </c>
      <c r="F315"/>
      <c r="G315">
        <v>0</v>
      </c>
      <c r="H315">
        <v>0</v>
      </c>
      <c r="I315">
        <v>12.875</v>
      </c>
      <c r="J315">
        <v>0</v>
      </c>
    </row>
    <row r="316" spans="1:10" x14ac:dyDescent="0.3">
      <c r="A316"/>
      <c r="B316"/>
      <c r="C316"/>
    </row>
    <row r="317" spans="1:10" x14ac:dyDescent="0.3">
      <c r="A317"/>
      <c r="B317"/>
      <c r="C317"/>
    </row>
    <row r="318" spans="1:10" x14ac:dyDescent="0.3">
      <c r="A318"/>
      <c r="B318"/>
      <c r="C318"/>
    </row>
    <row r="319" spans="1:10" x14ac:dyDescent="0.3">
      <c r="A319"/>
      <c r="B319"/>
      <c r="C319"/>
    </row>
    <row r="320" spans="1:10" x14ac:dyDescent="0.3">
      <c r="A320"/>
      <c r="B320"/>
      <c r="C320"/>
    </row>
    <row r="321" spans="1:3" x14ac:dyDescent="0.3">
      <c r="A321"/>
      <c r="B321"/>
      <c r="C321"/>
    </row>
    <row r="322" spans="1:3" x14ac:dyDescent="0.3">
      <c r="A322"/>
      <c r="B322"/>
      <c r="C322"/>
    </row>
    <row r="323" spans="1:3" x14ac:dyDescent="0.3">
      <c r="A323"/>
      <c r="B323"/>
      <c r="C323"/>
    </row>
    <row r="324" spans="1:3" x14ac:dyDescent="0.3">
      <c r="A324"/>
      <c r="B324"/>
      <c r="C324"/>
    </row>
    <row r="325" spans="1:3" x14ac:dyDescent="0.3">
      <c r="A325"/>
      <c r="B325"/>
      <c r="C325"/>
    </row>
    <row r="326" spans="1:3" x14ac:dyDescent="0.3">
      <c r="A326"/>
      <c r="B326"/>
      <c r="C326"/>
    </row>
    <row r="327" spans="1:3" x14ac:dyDescent="0.3">
      <c r="A327"/>
      <c r="B327"/>
      <c r="C327"/>
    </row>
    <row r="328" spans="1:3" x14ac:dyDescent="0.3">
      <c r="A328"/>
      <c r="B328"/>
      <c r="C328"/>
    </row>
    <row r="329" spans="1:3" x14ac:dyDescent="0.3">
      <c r="A329"/>
      <c r="B329"/>
      <c r="C329"/>
    </row>
    <row r="330" spans="1:3" x14ac:dyDescent="0.3">
      <c r="A330"/>
      <c r="B330"/>
      <c r="C330"/>
    </row>
    <row r="331" spans="1:3" x14ac:dyDescent="0.3">
      <c r="A331"/>
      <c r="B331"/>
      <c r="C331"/>
    </row>
    <row r="332" spans="1:3" x14ac:dyDescent="0.3">
      <c r="A332"/>
      <c r="B332"/>
      <c r="C332"/>
    </row>
    <row r="333" spans="1:3" x14ac:dyDescent="0.3">
      <c r="A333"/>
      <c r="B333"/>
      <c r="C333"/>
    </row>
    <row r="334" spans="1:3" x14ac:dyDescent="0.3">
      <c r="A334"/>
      <c r="B334"/>
      <c r="C334"/>
    </row>
    <row r="335" spans="1:3" x14ac:dyDescent="0.3">
      <c r="A335"/>
      <c r="B335"/>
      <c r="C335"/>
    </row>
    <row r="336" spans="1:3" x14ac:dyDescent="0.3">
      <c r="A336"/>
      <c r="B336"/>
      <c r="C336"/>
    </row>
    <row r="337" spans="1:10" x14ac:dyDescent="0.3">
      <c r="A337"/>
      <c r="B337"/>
      <c r="C337"/>
    </row>
    <row r="338" spans="1:10" x14ac:dyDescent="0.3">
      <c r="A338"/>
      <c r="B338"/>
      <c r="C338"/>
    </row>
    <row r="339" spans="1:10" x14ac:dyDescent="0.3">
      <c r="A339">
        <v>3</v>
      </c>
      <c r="E339" t="s">
        <v>26</v>
      </c>
      <c r="F339"/>
      <c r="G339">
        <v>0</v>
      </c>
      <c r="H339">
        <v>0</v>
      </c>
      <c r="I339">
        <v>7.7207999999999997</v>
      </c>
      <c r="J339">
        <v>1</v>
      </c>
    </row>
    <row r="340" spans="1:10" x14ac:dyDescent="0.3">
      <c r="A340"/>
      <c r="B340"/>
      <c r="C340"/>
    </row>
    <row r="341" spans="1:10" x14ac:dyDescent="0.3">
      <c r="A341">
        <v>3</v>
      </c>
      <c r="E341" t="s">
        <v>26</v>
      </c>
      <c r="F341"/>
      <c r="G341">
        <v>0</v>
      </c>
      <c r="H341">
        <v>0</v>
      </c>
      <c r="I341">
        <v>7.75</v>
      </c>
      <c r="J341">
        <v>1</v>
      </c>
    </row>
    <row r="342" spans="1:10" x14ac:dyDescent="0.3">
      <c r="A342"/>
      <c r="B342"/>
      <c r="C342"/>
    </row>
    <row r="343" spans="1:10" x14ac:dyDescent="0.3">
      <c r="A343"/>
      <c r="B343"/>
      <c r="C343"/>
    </row>
    <row r="344" spans="1:10" x14ac:dyDescent="0.3">
      <c r="A344">
        <v>3</v>
      </c>
      <c r="E344" t="s">
        <v>23</v>
      </c>
      <c r="F344"/>
      <c r="G344">
        <v>0</v>
      </c>
      <c r="H344">
        <v>0</v>
      </c>
      <c r="I344">
        <v>8.0500000000000007</v>
      </c>
      <c r="J344">
        <v>0</v>
      </c>
    </row>
    <row r="345" spans="1:10" x14ac:dyDescent="0.3">
      <c r="A345"/>
      <c r="B345"/>
      <c r="C345"/>
    </row>
    <row r="346" spans="1:10" x14ac:dyDescent="0.3">
      <c r="A346"/>
      <c r="B346"/>
      <c r="C346"/>
    </row>
    <row r="347" spans="1:10" x14ac:dyDescent="0.3">
      <c r="A347">
        <v>3</v>
      </c>
      <c r="B347" t="s">
        <v>23</v>
      </c>
      <c r="C347"/>
      <c r="E347"/>
      <c r="F347"/>
      <c r="G347"/>
    </row>
    <row r="348" spans="1:10" x14ac:dyDescent="0.3">
      <c r="A348">
        <v>3</v>
      </c>
      <c r="B348" t="s">
        <v>23</v>
      </c>
      <c r="C348"/>
      <c r="E348"/>
      <c r="F348"/>
      <c r="G348"/>
    </row>
    <row r="349" spans="1:10" x14ac:dyDescent="0.3">
      <c r="A349"/>
      <c r="B349"/>
      <c r="C349"/>
    </row>
    <row r="350" spans="1:10" x14ac:dyDescent="0.3">
      <c r="A350"/>
      <c r="B350"/>
      <c r="C350"/>
    </row>
    <row r="351" spans="1:10" x14ac:dyDescent="0.3">
      <c r="A351"/>
      <c r="B351"/>
      <c r="C351"/>
    </row>
    <row r="352" spans="1:10" x14ac:dyDescent="0.3">
      <c r="A352"/>
      <c r="B352"/>
      <c r="C352"/>
    </row>
    <row r="353" spans="1:3" x14ac:dyDescent="0.3">
      <c r="A353"/>
      <c r="B353"/>
      <c r="C353"/>
    </row>
    <row r="354" spans="1:3" x14ac:dyDescent="0.3">
      <c r="A354"/>
      <c r="B354"/>
      <c r="C354"/>
    </row>
    <row r="355" spans="1:3" x14ac:dyDescent="0.3">
      <c r="A355"/>
      <c r="B355"/>
      <c r="C355"/>
    </row>
    <row r="356" spans="1:3" x14ac:dyDescent="0.3">
      <c r="A356"/>
      <c r="B356"/>
      <c r="C356"/>
    </row>
    <row r="357" spans="1:3" x14ac:dyDescent="0.3">
      <c r="A357"/>
      <c r="B357"/>
      <c r="C357"/>
    </row>
    <row r="358" spans="1:3" x14ac:dyDescent="0.3">
      <c r="A358"/>
      <c r="B358"/>
      <c r="C358"/>
    </row>
    <row r="359" spans="1:3" x14ac:dyDescent="0.3">
      <c r="A359"/>
      <c r="B359"/>
      <c r="C359"/>
    </row>
    <row r="360" spans="1:3" x14ac:dyDescent="0.3">
      <c r="A360"/>
      <c r="B360"/>
      <c r="C360"/>
    </row>
    <row r="361" spans="1:3" x14ac:dyDescent="0.3">
      <c r="A361"/>
      <c r="B361"/>
      <c r="C361"/>
    </row>
    <row r="362" spans="1:3" x14ac:dyDescent="0.3">
      <c r="A362"/>
      <c r="B362"/>
      <c r="C362"/>
    </row>
    <row r="363" spans="1:3" x14ac:dyDescent="0.3">
      <c r="A363"/>
      <c r="B363"/>
      <c r="C363"/>
    </row>
    <row r="364" spans="1:3" x14ac:dyDescent="0.3">
      <c r="A364"/>
      <c r="B364"/>
      <c r="C364"/>
    </row>
    <row r="365" spans="1:3" x14ac:dyDescent="0.3">
      <c r="A365"/>
      <c r="B365"/>
      <c r="C365"/>
    </row>
    <row r="366" spans="1:3" x14ac:dyDescent="0.3">
      <c r="A366"/>
      <c r="B366"/>
      <c r="C366"/>
    </row>
    <row r="367" spans="1:3" x14ac:dyDescent="0.3">
      <c r="A367"/>
      <c r="B367"/>
      <c r="C367"/>
    </row>
    <row r="368" spans="1:3" x14ac:dyDescent="0.3">
      <c r="A368"/>
      <c r="B368"/>
      <c r="C368"/>
    </row>
    <row r="369" spans="1:3" x14ac:dyDescent="0.3">
      <c r="A369"/>
      <c r="B369"/>
      <c r="C369"/>
    </row>
    <row r="370" spans="1:3" x14ac:dyDescent="0.3">
      <c r="A370"/>
      <c r="B370"/>
      <c r="C370"/>
    </row>
    <row r="371" spans="1:3" x14ac:dyDescent="0.3">
      <c r="A371"/>
      <c r="B371"/>
      <c r="C371"/>
    </row>
    <row r="372" spans="1:3" x14ac:dyDescent="0.3">
      <c r="A372"/>
      <c r="B372"/>
      <c r="C372"/>
    </row>
    <row r="373" spans="1:3" x14ac:dyDescent="0.3">
      <c r="A373"/>
      <c r="B373"/>
      <c r="C373"/>
    </row>
    <row r="374" spans="1:3" x14ac:dyDescent="0.3">
      <c r="A374"/>
      <c r="B374"/>
      <c r="C374"/>
    </row>
    <row r="375" spans="1:3" x14ac:dyDescent="0.3">
      <c r="A375"/>
      <c r="B375"/>
      <c r="C375"/>
    </row>
    <row r="376" spans="1:3" x14ac:dyDescent="0.3">
      <c r="A376"/>
      <c r="B376"/>
      <c r="C376"/>
    </row>
    <row r="377" spans="1:3" x14ac:dyDescent="0.3">
      <c r="A377"/>
      <c r="B377"/>
      <c r="C377"/>
    </row>
    <row r="378" spans="1:3" x14ac:dyDescent="0.3">
      <c r="A378"/>
      <c r="B378"/>
      <c r="C378"/>
    </row>
    <row r="379" spans="1:3" x14ac:dyDescent="0.3">
      <c r="A379"/>
      <c r="B379"/>
      <c r="C379"/>
    </row>
    <row r="380" spans="1:3" x14ac:dyDescent="0.3">
      <c r="A380"/>
      <c r="B380"/>
      <c r="C380"/>
    </row>
    <row r="381" spans="1:3" x14ac:dyDescent="0.3">
      <c r="A381"/>
      <c r="B381"/>
      <c r="C381"/>
    </row>
    <row r="382" spans="1:3" x14ac:dyDescent="0.3">
      <c r="A382"/>
      <c r="B382"/>
      <c r="C382"/>
    </row>
    <row r="383" spans="1:3" x14ac:dyDescent="0.3">
      <c r="A383"/>
      <c r="B383"/>
      <c r="C383"/>
    </row>
    <row r="384" spans="1:3" x14ac:dyDescent="0.3">
      <c r="A384"/>
      <c r="B384"/>
      <c r="C384"/>
    </row>
    <row r="385" spans="1:3" x14ac:dyDescent="0.3">
      <c r="A385"/>
      <c r="B385"/>
      <c r="C385"/>
    </row>
    <row r="386" spans="1:3" x14ac:dyDescent="0.3">
      <c r="A386"/>
      <c r="B386"/>
      <c r="C386"/>
    </row>
    <row r="387" spans="1:3" x14ac:dyDescent="0.3">
      <c r="A387"/>
      <c r="B387"/>
      <c r="C387"/>
    </row>
    <row r="388" spans="1:3" x14ac:dyDescent="0.3">
      <c r="A388"/>
      <c r="B388"/>
      <c r="C388"/>
    </row>
    <row r="389" spans="1:3" x14ac:dyDescent="0.3">
      <c r="A389"/>
      <c r="B389"/>
      <c r="C389"/>
    </row>
    <row r="390" spans="1:3" x14ac:dyDescent="0.3">
      <c r="A390"/>
      <c r="B390"/>
      <c r="C390"/>
    </row>
    <row r="391" spans="1:3" x14ac:dyDescent="0.3">
      <c r="A391"/>
      <c r="B391"/>
      <c r="C391"/>
    </row>
    <row r="392" spans="1:3" x14ac:dyDescent="0.3">
      <c r="A392"/>
      <c r="B392"/>
      <c r="C392"/>
    </row>
    <row r="393" spans="1:3" x14ac:dyDescent="0.3">
      <c r="A393"/>
      <c r="B393"/>
      <c r="C393"/>
    </row>
    <row r="394" spans="1:3" x14ac:dyDescent="0.3">
      <c r="A394"/>
      <c r="B394"/>
      <c r="C394"/>
    </row>
    <row r="395" spans="1:3" x14ac:dyDescent="0.3">
      <c r="A395"/>
      <c r="B395"/>
      <c r="C395"/>
    </row>
    <row r="396" spans="1:3" x14ac:dyDescent="0.3">
      <c r="A396"/>
      <c r="B396"/>
      <c r="C396"/>
    </row>
    <row r="397" spans="1:3" x14ac:dyDescent="0.3">
      <c r="A397"/>
      <c r="B397"/>
      <c r="C397"/>
    </row>
    <row r="398" spans="1:3" x14ac:dyDescent="0.3">
      <c r="A398"/>
      <c r="B398"/>
      <c r="C398"/>
    </row>
    <row r="399" spans="1:3" x14ac:dyDescent="0.3">
      <c r="A399"/>
      <c r="B399"/>
      <c r="C399"/>
    </row>
    <row r="400" spans="1:3" x14ac:dyDescent="0.3">
      <c r="A400"/>
      <c r="B400"/>
      <c r="C400"/>
    </row>
    <row r="401" spans="1:3" x14ac:dyDescent="0.3">
      <c r="A401"/>
      <c r="B401"/>
      <c r="C401"/>
    </row>
    <row r="402" spans="1:3" x14ac:dyDescent="0.3">
      <c r="A402"/>
      <c r="B402"/>
      <c r="C402"/>
    </row>
    <row r="403" spans="1:3" x14ac:dyDescent="0.3">
      <c r="A403"/>
      <c r="B403"/>
      <c r="C403"/>
    </row>
    <row r="404" spans="1:3" x14ac:dyDescent="0.3">
      <c r="A404"/>
      <c r="B404"/>
      <c r="C404"/>
    </row>
    <row r="405" spans="1:3" x14ac:dyDescent="0.3">
      <c r="A405"/>
      <c r="B405"/>
      <c r="C405"/>
    </row>
    <row r="406" spans="1:3" x14ac:dyDescent="0.3">
      <c r="A406"/>
      <c r="B406"/>
      <c r="C406"/>
    </row>
    <row r="407" spans="1:3" x14ac:dyDescent="0.3">
      <c r="A407"/>
      <c r="B407"/>
      <c r="C407"/>
    </row>
    <row r="408" spans="1:3" x14ac:dyDescent="0.3">
      <c r="A408"/>
      <c r="B408"/>
      <c r="C408"/>
    </row>
    <row r="409" spans="1:3" x14ac:dyDescent="0.3">
      <c r="A409"/>
      <c r="B409"/>
      <c r="C409"/>
    </row>
    <row r="410" spans="1:3" x14ac:dyDescent="0.3">
      <c r="A410"/>
      <c r="B410"/>
      <c r="C410"/>
    </row>
    <row r="411" spans="1:3" x14ac:dyDescent="0.3">
      <c r="A411"/>
      <c r="B411"/>
      <c r="C411"/>
    </row>
    <row r="412" spans="1:3" x14ac:dyDescent="0.3">
      <c r="A412"/>
      <c r="B412"/>
      <c r="C412"/>
    </row>
    <row r="413" spans="1:3" x14ac:dyDescent="0.3">
      <c r="A413"/>
      <c r="B413"/>
      <c r="C413"/>
    </row>
    <row r="414" spans="1:3" x14ac:dyDescent="0.3">
      <c r="A414"/>
      <c r="B414"/>
      <c r="C414"/>
    </row>
    <row r="415" spans="1:3" x14ac:dyDescent="0.3">
      <c r="A415"/>
      <c r="B415"/>
      <c r="C415"/>
    </row>
    <row r="416" spans="1:3" x14ac:dyDescent="0.3">
      <c r="A416"/>
      <c r="B416"/>
      <c r="C416"/>
    </row>
    <row r="417" spans="1:3" x14ac:dyDescent="0.3">
      <c r="A417"/>
      <c r="B417"/>
      <c r="C417"/>
    </row>
    <row r="418" spans="1:3" x14ac:dyDescent="0.3">
      <c r="A418"/>
      <c r="B418"/>
      <c r="C418"/>
    </row>
    <row r="419" spans="1:3" x14ac:dyDescent="0.3">
      <c r="A419"/>
      <c r="B419"/>
      <c r="C419"/>
    </row>
    <row r="420" spans="1:3" x14ac:dyDescent="0.3">
      <c r="A420"/>
      <c r="B420"/>
      <c r="C420"/>
    </row>
    <row r="421" spans="1:3" x14ac:dyDescent="0.3">
      <c r="A421"/>
      <c r="B421"/>
      <c r="C421"/>
    </row>
    <row r="422" spans="1:3" x14ac:dyDescent="0.3">
      <c r="A422"/>
      <c r="B422"/>
      <c r="C422"/>
    </row>
    <row r="423" spans="1:3" x14ac:dyDescent="0.3">
      <c r="A423"/>
      <c r="B423"/>
      <c r="C423"/>
    </row>
    <row r="424" spans="1:3" x14ac:dyDescent="0.3">
      <c r="A424"/>
      <c r="B424"/>
      <c r="C424"/>
    </row>
    <row r="425" spans="1:3" x14ac:dyDescent="0.3">
      <c r="A425"/>
      <c r="B425"/>
      <c r="C425"/>
    </row>
    <row r="426" spans="1:3" x14ac:dyDescent="0.3">
      <c r="A426"/>
      <c r="B426"/>
      <c r="C426"/>
    </row>
    <row r="427" spans="1:3" x14ac:dyDescent="0.3">
      <c r="A427"/>
      <c r="B427"/>
      <c r="C427"/>
    </row>
    <row r="428" spans="1:3" x14ac:dyDescent="0.3">
      <c r="A428"/>
      <c r="B428"/>
      <c r="C428"/>
    </row>
    <row r="429" spans="1:3" x14ac:dyDescent="0.3">
      <c r="A429"/>
      <c r="B429"/>
      <c r="C429"/>
    </row>
    <row r="430" spans="1:3" x14ac:dyDescent="0.3">
      <c r="A430"/>
      <c r="B430"/>
      <c r="C430"/>
    </row>
    <row r="431" spans="1:3" x14ac:dyDescent="0.3">
      <c r="A431"/>
      <c r="B431"/>
      <c r="C431"/>
    </row>
    <row r="432" spans="1:3" x14ac:dyDescent="0.3">
      <c r="A432"/>
      <c r="B432"/>
      <c r="C432"/>
    </row>
    <row r="433" spans="1:3" x14ac:dyDescent="0.3">
      <c r="A433"/>
      <c r="B433"/>
      <c r="C433"/>
    </row>
    <row r="434" spans="1:3" x14ac:dyDescent="0.3">
      <c r="A434"/>
      <c r="B434"/>
      <c r="C434"/>
    </row>
    <row r="435" spans="1:3" x14ac:dyDescent="0.3">
      <c r="A435"/>
      <c r="B435"/>
      <c r="C435"/>
    </row>
    <row r="436" spans="1:3" x14ac:dyDescent="0.3">
      <c r="A436"/>
      <c r="B436"/>
      <c r="C436"/>
    </row>
    <row r="437" spans="1:3" x14ac:dyDescent="0.3">
      <c r="A437"/>
      <c r="B437"/>
      <c r="C437"/>
    </row>
    <row r="438" spans="1:3" x14ac:dyDescent="0.3">
      <c r="A438"/>
      <c r="B438"/>
      <c r="C438"/>
    </row>
    <row r="439" spans="1:3" x14ac:dyDescent="0.3">
      <c r="A439"/>
      <c r="B439"/>
      <c r="C439"/>
    </row>
    <row r="440" spans="1:3" x14ac:dyDescent="0.3">
      <c r="A440"/>
      <c r="B440"/>
      <c r="C440"/>
    </row>
    <row r="441" spans="1:3" x14ac:dyDescent="0.3">
      <c r="A441"/>
      <c r="B441"/>
      <c r="C441"/>
    </row>
    <row r="442" spans="1:3" x14ac:dyDescent="0.3">
      <c r="A442"/>
      <c r="B442"/>
      <c r="C442"/>
    </row>
    <row r="443" spans="1:3" x14ac:dyDescent="0.3">
      <c r="A443"/>
      <c r="B443"/>
      <c r="C443"/>
    </row>
    <row r="444" spans="1:3" x14ac:dyDescent="0.3">
      <c r="A444"/>
      <c r="B444"/>
      <c r="C444"/>
    </row>
    <row r="445" spans="1:3" x14ac:dyDescent="0.3">
      <c r="A445"/>
      <c r="B445"/>
      <c r="C445"/>
    </row>
    <row r="446" spans="1:3" x14ac:dyDescent="0.3">
      <c r="A446"/>
      <c r="B446"/>
      <c r="C446"/>
    </row>
    <row r="447" spans="1:3" x14ac:dyDescent="0.3">
      <c r="A447"/>
      <c r="B447"/>
      <c r="C447"/>
    </row>
    <row r="448" spans="1:3" x14ac:dyDescent="0.3">
      <c r="A448"/>
      <c r="B448"/>
      <c r="C448"/>
    </row>
    <row r="449" spans="1:3" x14ac:dyDescent="0.3">
      <c r="A449"/>
      <c r="B449"/>
      <c r="C449"/>
    </row>
    <row r="450" spans="1:3" x14ac:dyDescent="0.3">
      <c r="A450"/>
      <c r="B450"/>
      <c r="C450"/>
    </row>
    <row r="451" spans="1:3" x14ac:dyDescent="0.3">
      <c r="A451"/>
      <c r="B451"/>
      <c r="C451"/>
    </row>
    <row r="452" spans="1:3" x14ac:dyDescent="0.3">
      <c r="A452"/>
      <c r="B452"/>
      <c r="C452"/>
    </row>
    <row r="453" spans="1:3" x14ac:dyDescent="0.3">
      <c r="A453"/>
      <c r="B453"/>
      <c r="C453"/>
    </row>
    <row r="454" spans="1:3" x14ac:dyDescent="0.3">
      <c r="A454"/>
      <c r="B454"/>
      <c r="C454"/>
    </row>
    <row r="455" spans="1:3" x14ac:dyDescent="0.3">
      <c r="A455"/>
      <c r="B455"/>
      <c r="C455"/>
    </row>
    <row r="456" spans="1:3" x14ac:dyDescent="0.3">
      <c r="A456"/>
      <c r="B456"/>
      <c r="C456"/>
    </row>
    <row r="457" spans="1:3" x14ac:dyDescent="0.3">
      <c r="A457"/>
      <c r="B457"/>
      <c r="C457"/>
    </row>
    <row r="458" spans="1:3" x14ac:dyDescent="0.3">
      <c r="A458"/>
      <c r="B458"/>
      <c r="C458"/>
    </row>
    <row r="459" spans="1:3" x14ac:dyDescent="0.3">
      <c r="A459"/>
      <c r="B459"/>
      <c r="C459"/>
    </row>
    <row r="460" spans="1:3" x14ac:dyDescent="0.3">
      <c r="A460"/>
      <c r="B460"/>
      <c r="C460"/>
    </row>
    <row r="461" spans="1:3" x14ac:dyDescent="0.3">
      <c r="A461"/>
      <c r="B461"/>
      <c r="C461"/>
    </row>
    <row r="462" spans="1:3" x14ac:dyDescent="0.3">
      <c r="A462"/>
      <c r="B462"/>
      <c r="C462"/>
    </row>
    <row r="463" spans="1:3" x14ac:dyDescent="0.3">
      <c r="A463"/>
      <c r="B463"/>
      <c r="C463"/>
    </row>
    <row r="464" spans="1:3" x14ac:dyDescent="0.3">
      <c r="A464"/>
      <c r="B464"/>
      <c r="C464"/>
    </row>
    <row r="465" spans="1:3" x14ac:dyDescent="0.3">
      <c r="A465"/>
      <c r="B465"/>
      <c r="C465"/>
    </row>
    <row r="466" spans="1:3" x14ac:dyDescent="0.3">
      <c r="A466"/>
      <c r="B466"/>
      <c r="C466"/>
    </row>
    <row r="467" spans="1:3" x14ac:dyDescent="0.3">
      <c r="A467"/>
      <c r="B467"/>
      <c r="C467"/>
    </row>
    <row r="468" spans="1:3" x14ac:dyDescent="0.3">
      <c r="A468"/>
      <c r="B468"/>
      <c r="C468"/>
    </row>
    <row r="469" spans="1:3" x14ac:dyDescent="0.3">
      <c r="A469"/>
      <c r="B469"/>
      <c r="C469"/>
    </row>
    <row r="470" spans="1:3" x14ac:dyDescent="0.3">
      <c r="A470"/>
      <c r="B470"/>
      <c r="C470"/>
    </row>
    <row r="471" spans="1:3" x14ac:dyDescent="0.3">
      <c r="A471"/>
      <c r="B471"/>
      <c r="C471"/>
    </row>
    <row r="472" spans="1:3" x14ac:dyDescent="0.3">
      <c r="A472"/>
      <c r="B472"/>
      <c r="C472"/>
    </row>
    <row r="473" spans="1:3" x14ac:dyDescent="0.3">
      <c r="A473"/>
      <c r="B473"/>
      <c r="C473"/>
    </row>
    <row r="474" spans="1:3" x14ac:dyDescent="0.3">
      <c r="A474"/>
      <c r="B474"/>
      <c r="C474"/>
    </row>
    <row r="475" spans="1:3" x14ac:dyDescent="0.3">
      <c r="A475"/>
      <c r="B475"/>
      <c r="C475"/>
    </row>
    <row r="476" spans="1:3" x14ac:dyDescent="0.3">
      <c r="A476"/>
      <c r="B476"/>
      <c r="C476"/>
    </row>
    <row r="477" spans="1:3" x14ac:dyDescent="0.3">
      <c r="A477"/>
      <c r="B477"/>
      <c r="C477"/>
    </row>
    <row r="478" spans="1:3" x14ac:dyDescent="0.3">
      <c r="A478"/>
      <c r="B478"/>
      <c r="C478"/>
    </row>
    <row r="479" spans="1:3" x14ac:dyDescent="0.3">
      <c r="A479"/>
      <c r="B479"/>
      <c r="C479"/>
    </row>
    <row r="480" spans="1:3" x14ac:dyDescent="0.3">
      <c r="A480"/>
      <c r="B480"/>
      <c r="C480"/>
    </row>
    <row r="481" spans="1:3" x14ac:dyDescent="0.3">
      <c r="A481"/>
      <c r="B481"/>
      <c r="C481"/>
    </row>
    <row r="482" spans="1:3" x14ac:dyDescent="0.3">
      <c r="A482"/>
      <c r="B482"/>
      <c r="C482"/>
    </row>
    <row r="483" spans="1:3" x14ac:dyDescent="0.3">
      <c r="A483"/>
      <c r="B483"/>
      <c r="C483"/>
    </row>
    <row r="484" spans="1:3" x14ac:dyDescent="0.3">
      <c r="A484"/>
      <c r="B484"/>
      <c r="C484"/>
    </row>
    <row r="485" spans="1:3" x14ac:dyDescent="0.3">
      <c r="A485"/>
      <c r="B485"/>
      <c r="C485"/>
    </row>
    <row r="486" spans="1:3" x14ac:dyDescent="0.3">
      <c r="A486"/>
      <c r="B486"/>
      <c r="C486"/>
    </row>
    <row r="487" spans="1:3" x14ac:dyDescent="0.3">
      <c r="A487"/>
      <c r="B487"/>
      <c r="C487"/>
    </row>
    <row r="488" spans="1:3" x14ac:dyDescent="0.3">
      <c r="A488"/>
      <c r="B488"/>
      <c r="C488"/>
    </row>
    <row r="489" spans="1:3" x14ac:dyDescent="0.3">
      <c r="A489"/>
      <c r="B489"/>
      <c r="C489"/>
    </row>
    <row r="490" spans="1:3" x14ac:dyDescent="0.3">
      <c r="A490"/>
      <c r="B490"/>
      <c r="C490"/>
    </row>
    <row r="491" spans="1:3" x14ac:dyDescent="0.3">
      <c r="A491"/>
      <c r="B491"/>
      <c r="C491"/>
    </row>
    <row r="492" spans="1:3" x14ac:dyDescent="0.3">
      <c r="A492"/>
      <c r="B492"/>
      <c r="C492"/>
    </row>
    <row r="493" spans="1:3" x14ac:dyDescent="0.3">
      <c r="A493"/>
      <c r="B493"/>
      <c r="C493"/>
    </row>
    <row r="494" spans="1:3" x14ac:dyDescent="0.3">
      <c r="A494"/>
      <c r="B494"/>
      <c r="C494"/>
    </row>
    <row r="495" spans="1:3" x14ac:dyDescent="0.3">
      <c r="A495"/>
      <c r="B495"/>
      <c r="C495"/>
    </row>
    <row r="496" spans="1:3" x14ac:dyDescent="0.3">
      <c r="A496"/>
      <c r="B496"/>
      <c r="C496"/>
    </row>
    <row r="497" spans="1:3" x14ac:dyDescent="0.3">
      <c r="A497"/>
      <c r="B497"/>
      <c r="C497"/>
    </row>
    <row r="498" spans="1:3" x14ac:dyDescent="0.3">
      <c r="A498"/>
      <c r="B498"/>
      <c r="C498"/>
    </row>
    <row r="499" spans="1:3" x14ac:dyDescent="0.3">
      <c r="A499"/>
      <c r="B499"/>
      <c r="C499"/>
    </row>
    <row r="500" spans="1:3" x14ac:dyDescent="0.3">
      <c r="A500"/>
      <c r="B500"/>
      <c r="C500"/>
    </row>
    <row r="501" spans="1:3" x14ac:dyDescent="0.3">
      <c r="A501"/>
      <c r="B501"/>
      <c r="C501"/>
    </row>
    <row r="502" spans="1:3" x14ac:dyDescent="0.3">
      <c r="A502"/>
      <c r="B502"/>
      <c r="C502"/>
    </row>
    <row r="503" spans="1:3" x14ac:dyDescent="0.3">
      <c r="A503"/>
      <c r="B503"/>
      <c r="C503"/>
    </row>
    <row r="504" spans="1:3" x14ac:dyDescent="0.3">
      <c r="A504"/>
      <c r="B504"/>
      <c r="C504"/>
    </row>
    <row r="505" spans="1:3" x14ac:dyDescent="0.3">
      <c r="A505"/>
      <c r="B505"/>
      <c r="C505"/>
    </row>
    <row r="506" spans="1:3" x14ac:dyDescent="0.3">
      <c r="A506"/>
      <c r="B506"/>
      <c r="C506"/>
    </row>
    <row r="507" spans="1:3" x14ac:dyDescent="0.3">
      <c r="A507"/>
      <c r="B507"/>
      <c r="C507"/>
    </row>
    <row r="508" spans="1:3" x14ac:dyDescent="0.3">
      <c r="A508"/>
      <c r="B508"/>
      <c r="C508"/>
    </row>
    <row r="509" spans="1:3" x14ac:dyDescent="0.3">
      <c r="A509"/>
      <c r="B509"/>
      <c r="C509"/>
    </row>
    <row r="510" spans="1:3" x14ac:dyDescent="0.3">
      <c r="A510"/>
      <c r="B510"/>
      <c r="C510"/>
    </row>
    <row r="511" spans="1:3" x14ac:dyDescent="0.3">
      <c r="A511"/>
      <c r="B511"/>
      <c r="C511"/>
    </row>
    <row r="512" spans="1:3" x14ac:dyDescent="0.3">
      <c r="A512"/>
      <c r="B512"/>
      <c r="C512"/>
    </row>
    <row r="513" spans="1:3" x14ac:dyDescent="0.3">
      <c r="A513"/>
      <c r="B513"/>
      <c r="C513"/>
    </row>
    <row r="514" spans="1:3" x14ac:dyDescent="0.3">
      <c r="A514"/>
      <c r="B514"/>
      <c r="C514"/>
    </row>
    <row r="515" spans="1:3" x14ac:dyDescent="0.3">
      <c r="A515"/>
      <c r="B515"/>
      <c r="C515"/>
    </row>
    <row r="516" spans="1:3" x14ac:dyDescent="0.3">
      <c r="A516"/>
      <c r="B516"/>
      <c r="C516"/>
    </row>
    <row r="517" spans="1:3" x14ac:dyDescent="0.3">
      <c r="A517"/>
      <c r="B517"/>
      <c r="C517"/>
    </row>
    <row r="518" spans="1:3" x14ac:dyDescent="0.3">
      <c r="A518"/>
      <c r="B518"/>
      <c r="C518"/>
    </row>
    <row r="519" spans="1:3" x14ac:dyDescent="0.3">
      <c r="A519"/>
      <c r="B519"/>
      <c r="C519"/>
    </row>
    <row r="520" spans="1:3" x14ac:dyDescent="0.3">
      <c r="A520"/>
      <c r="B520"/>
      <c r="C520"/>
    </row>
    <row r="521" spans="1:3" x14ac:dyDescent="0.3">
      <c r="A521"/>
      <c r="B521"/>
      <c r="C521"/>
    </row>
    <row r="522" spans="1:3" x14ac:dyDescent="0.3">
      <c r="A522"/>
      <c r="B522"/>
      <c r="C522"/>
    </row>
    <row r="523" spans="1:3" x14ac:dyDescent="0.3">
      <c r="A523"/>
      <c r="B523"/>
      <c r="C523"/>
    </row>
    <row r="524" spans="1:3" x14ac:dyDescent="0.3">
      <c r="A524"/>
      <c r="B524"/>
      <c r="C524"/>
    </row>
    <row r="525" spans="1:3" x14ac:dyDescent="0.3">
      <c r="A525"/>
      <c r="B525"/>
      <c r="C525"/>
    </row>
    <row r="526" spans="1:3" x14ac:dyDescent="0.3">
      <c r="A526"/>
      <c r="B526"/>
      <c r="C526"/>
    </row>
    <row r="527" spans="1:3" x14ac:dyDescent="0.3">
      <c r="A527"/>
      <c r="B527"/>
      <c r="C527"/>
    </row>
    <row r="528" spans="1:3" x14ac:dyDescent="0.3">
      <c r="A528"/>
      <c r="B528"/>
      <c r="C528"/>
    </row>
    <row r="529" spans="1:3" x14ac:dyDescent="0.3">
      <c r="A529"/>
      <c r="B529"/>
      <c r="C529"/>
    </row>
    <row r="530" spans="1:3" x14ac:dyDescent="0.3">
      <c r="A530"/>
      <c r="B530"/>
      <c r="C530"/>
    </row>
    <row r="531" spans="1:3" x14ac:dyDescent="0.3">
      <c r="A531"/>
      <c r="B531"/>
      <c r="C531"/>
    </row>
    <row r="532" spans="1:3" x14ac:dyDescent="0.3">
      <c r="A532"/>
      <c r="B532"/>
      <c r="C532"/>
    </row>
    <row r="533" spans="1:3" x14ac:dyDescent="0.3">
      <c r="A533"/>
      <c r="B533"/>
      <c r="C533"/>
    </row>
    <row r="534" spans="1:3" x14ac:dyDescent="0.3">
      <c r="A534"/>
      <c r="B534"/>
      <c r="C534"/>
    </row>
    <row r="535" spans="1:3" x14ac:dyDescent="0.3">
      <c r="A535"/>
      <c r="B535"/>
      <c r="C535"/>
    </row>
    <row r="536" spans="1:3" x14ac:dyDescent="0.3">
      <c r="A536"/>
      <c r="B536"/>
      <c r="C536"/>
    </row>
    <row r="537" spans="1:3" x14ac:dyDescent="0.3">
      <c r="A537"/>
      <c r="B537"/>
      <c r="C537"/>
    </row>
    <row r="538" spans="1:3" x14ac:dyDescent="0.3">
      <c r="A538"/>
      <c r="B538"/>
      <c r="C538"/>
    </row>
    <row r="539" spans="1:3" x14ac:dyDescent="0.3">
      <c r="A539"/>
      <c r="B539"/>
      <c r="C539"/>
    </row>
    <row r="540" spans="1:3" x14ac:dyDescent="0.3">
      <c r="A540"/>
      <c r="B540"/>
      <c r="C540"/>
    </row>
    <row r="541" spans="1:3" x14ac:dyDescent="0.3">
      <c r="A541"/>
      <c r="B541"/>
      <c r="C541"/>
    </row>
    <row r="542" spans="1:3" x14ac:dyDescent="0.3">
      <c r="A542"/>
      <c r="B542"/>
      <c r="C542"/>
    </row>
    <row r="543" spans="1:3" x14ac:dyDescent="0.3">
      <c r="A543"/>
      <c r="B543"/>
      <c r="C543"/>
    </row>
    <row r="544" spans="1:3" x14ac:dyDescent="0.3">
      <c r="A544"/>
      <c r="B544"/>
      <c r="C544"/>
    </row>
    <row r="545" spans="1:3" x14ac:dyDescent="0.3">
      <c r="A545"/>
      <c r="B545"/>
      <c r="C545"/>
    </row>
    <row r="546" spans="1:3" x14ac:dyDescent="0.3">
      <c r="A546"/>
      <c r="B546"/>
      <c r="C546"/>
    </row>
    <row r="547" spans="1:3" x14ac:dyDescent="0.3">
      <c r="A547"/>
      <c r="B547"/>
      <c r="C547"/>
    </row>
    <row r="548" spans="1:3" x14ac:dyDescent="0.3">
      <c r="A548"/>
      <c r="B548"/>
      <c r="C548"/>
    </row>
    <row r="549" spans="1:3" x14ac:dyDescent="0.3">
      <c r="A549"/>
      <c r="B549"/>
      <c r="C549"/>
    </row>
    <row r="550" spans="1:3" x14ac:dyDescent="0.3">
      <c r="A550"/>
      <c r="B550"/>
      <c r="C550"/>
    </row>
    <row r="551" spans="1:3" x14ac:dyDescent="0.3">
      <c r="A551"/>
      <c r="B551"/>
      <c r="C551"/>
    </row>
    <row r="552" spans="1:3" x14ac:dyDescent="0.3">
      <c r="A552"/>
      <c r="B552"/>
      <c r="C552"/>
    </row>
    <row r="553" spans="1:3" x14ac:dyDescent="0.3">
      <c r="A553"/>
      <c r="B553"/>
      <c r="C553"/>
    </row>
    <row r="554" spans="1:3" x14ac:dyDescent="0.3">
      <c r="A554"/>
      <c r="B554"/>
      <c r="C554"/>
    </row>
    <row r="555" spans="1:3" x14ac:dyDescent="0.3">
      <c r="A555"/>
      <c r="B555"/>
      <c r="C555"/>
    </row>
    <row r="556" spans="1:3" x14ac:dyDescent="0.3">
      <c r="A556"/>
      <c r="B556"/>
      <c r="C556"/>
    </row>
    <row r="557" spans="1:3" x14ac:dyDescent="0.3">
      <c r="A557"/>
      <c r="B557"/>
      <c r="C557"/>
    </row>
    <row r="558" spans="1:3" x14ac:dyDescent="0.3">
      <c r="A558"/>
      <c r="B558"/>
      <c r="C558"/>
    </row>
    <row r="559" spans="1:3" x14ac:dyDescent="0.3">
      <c r="A559"/>
      <c r="B559"/>
      <c r="C559"/>
    </row>
    <row r="560" spans="1:3" x14ac:dyDescent="0.3">
      <c r="A560"/>
      <c r="B560"/>
      <c r="C560"/>
    </row>
    <row r="561" spans="1:3" x14ac:dyDescent="0.3">
      <c r="A561"/>
      <c r="B561"/>
      <c r="C561"/>
    </row>
    <row r="562" spans="1:3" x14ac:dyDescent="0.3">
      <c r="A562"/>
      <c r="B562"/>
      <c r="C562"/>
    </row>
    <row r="563" spans="1:3" x14ac:dyDescent="0.3">
      <c r="A563"/>
      <c r="B563"/>
      <c r="C563"/>
    </row>
    <row r="564" spans="1:3" x14ac:dyDescent="0.3">
      <c r="A564"/>
      <c r="B564"/>
      <c r="C564"/>
    </row>
    <row r="565" spans="1:3" x14ac:dyDescent="0.3">
      <c r="A565"/>
      <c r="B565"/>
      <c r="C565"/>
    </row>
    <row r="566" spans="1:3" x14ac:dyDescent="0.3">
      <c r="A566"/>
      <c r="B566"/>
      <c r="C566"/>
    </row>
    <row r="567" spans="1:3" x14ac:dyDescent="0.3">
      <c r="A567"/>
      <c r="B567"/>
      <c r="C567"/>
    </row>
    <row r="568" spans="1:3" x14ac:dyDescent="0.3">
      <c r="A568"/>
      <c r="B568"/>
      <c r="C568"/>
    </row>
    <row r="569" spans="1:3" x14ac:dyDescent="0.3">
      <c r="A569"/>
      <c r="B569"/>
      <c r="C569"/>
    </row>
    <row r="570" spans="1:3" x14ac:dyDescent="0.3">
      <c r="A570"/>
      <c r="B570"/>
      <c r="C570"/>
    </row>
    <row r="571" spans="1:3" x14ac:dyDescent="0.3">
      <c r="A571"/>
      <c r="B571"/>
      <c r="C571"/>
    </row>
    <row r="572" spans="1:3" x14ac:dyDescent="0.3">
      <c r="A572"/>
      <c r="B572"/>
      <c r="C572"/>
    </row>
    <row r="573" spans="1:3" x14ac:dyDescent="0.3">
      <c r="A573"/>
      <c r="B573"/>
      <c r="C573"/>
    </row>
    <row r="574" spans="1:3" x14ac:dyDescent="0.3">
      <c r="A574"/>
      <c r="B574"/>
      <c r="C574"/>
    </row>
    <row r="575" spans="1:3" x14ac:dyDescent="0.3">
      <c r="A575"/>
      <c r="B575"/>
      <c r="C575"/>
    </row>
    <row r="576" spans="1:3" x14ac:dyDescent="0.3">
      <c r="A576"/>
      <c r="B576"/>
      <c r="C576"/>
    </row>
    <row r="577" spans="1:3" x14ac:dyDescent="0.3">
      <c r="A577"/>
      <c r="B577"/>
      <c r="C577"/>
    </row>
    <row r="578" spans="1:3" x14ac:dyDescent="0.3">
      <c r="A578"/>
      <c r="B578"/>
      <c r="C578"/>
    </row>
    <row r="579" spans="1:3" x14ac:dyDescent="0.3">
      <c r="A579"/>
      <c r="B579"/>
      <c r="C579"/>
    </row>
    <row r="580" spans="1:3" x14ac:dyDescent="0.3">
      <c r="A580"/>
      <c r="B580"/>
      <c r="C580"/>
    </row>
    <row r="581" spans="1:3" x14ac:dyDescent="0.3">
      <c r="A581"/>
      <c r="B581"/>
      <c r="C581"/>
    </row>
    <row r="582" spans="1:3" x14ac:dyDescent="0.3">
      <c r="A582"/>
      <c r="B582"/>
      <c r="C582"/>
    </row>
    <row r="583" spans="1:3" x14ac:dyDescent="0.3">
      <c r="A583"/>
      <c r="B583"/>
      <c r="C583"/>
    </row>
    <row r="584" spans="1:3" x14ac:dyDescent="0.3">
      <c r="A584"/>
      <c r="B584"/>
      <c r="C584"/>
    </row>
    <row r="585" spans="1:3" x14ac:dyDescent="0.3">
      <c r="A585"/>
      <c r="B585"/>
      <c r="C585"/>
    </row>
    <row r="586" spans="1:3" x14ac:dyDescent="0.3">
      <c r="A586"/>
      <c r="B586"/>
      <c r="C586"/>
    </row>
    <row r="587" spans="1:3" x14ac:dyDescent="0.3">
      <c r="A587"/>
      <c r="B587"/>
      <c r="C587"/>
    </row>
    <row r="588" spans="1:3" x14ac:dyDescent="0.3">
      <c r="A588"/>
      <c r="B588"/>
      <c r="C588"/>
    </row>
    <row r="589" spans="1:3" x14ac:dyDescent="0.3">
      <c r="A589"/>
      <c r="B589"/>
      <c r="C589"/>
    </row>
    <row r="590" spans="1:3" x14ac:dyDescent="0.3">
      <c r="A590"/>
      <c r="B590"/>
      <c r="C590"/>
    </row>
    <row r="591" spans="1:3" x14ac:dyDescent="0.3">
      <c r="A591"/>
      <c r="B591"/>
      <c r="C591"/>
    </row>
    <row r="592" spans="1:3" x14ac:dyDescent="0.3">
      <c r="A592"/>
      <c r="B592"/>
      <c r="C592"/>
    </row>
    <row r="593" spans="1:3" x14ac:dyDescent="0.3">
      <c r="A593"/>
      <c r="B593"/>
      <c r="C593"/>
    </row>
    <row r="594" spans="1:3" x14ac:dyDescent="0.3">
      <c r="A594"/>
      <c r="B594"/>
      <c r="C594"/>
    </row>
    <row r="595" spans="1:3" x14ac:dyDescent="0.3">
      <c r="A595"/>
      <c r="B595"/>
      <c r="C595"/>
    </row>
    <row r="596" spans="1:3" x14ac:dyDescent="0.3">
      <c r="A596"/>
      <c r="B596"/>
      <c r="C596"/>
    </row>
    <row r="597" spans="1:3" x14ac:dyDescent="0.3">
      <c r="A597"/>
      <c r="B597"/>
      <c r="C597"/>
    </row>
    <row r="598" spans="1:3" x14ac:dyDescent="0.3">
      <c r="A598"/>
      <c r="B598"/>
      <c r="C598"/>
    </row>
    <row r="599" spans="1:3" x14ac:dyDescent="0.3">
      <c r="A599"/>
      <c r="B599"/>
      <c r="C599"/>
    </row>
    <row r="600" spans="1:3" x14ac:dyDescent="0.3">
      <c r="A600"/>
      <c r="B600"/>
      <c r="C600"/>
    </row>
    <row r="601" spans="1:3" x14ac:dyDescent="0.3">
      <c r="A601"/>
      <c r="B601"/>
      <c r="C601"/>
    </row>
    <row r="602" spans="1:3" x14ac:dyDescent="0.3">
      <c r="A602"/>
      <c r="B602"/>
      <c r="C602"/>
    </row>
    <row r="603" spans="1:3" x14ac:dyDescent="0.3">
      <c r="A603"/>
      <c r="B603"/>
      <c r="C603"/>
    </row>
    <row r="604" spans="1:3" x14ac:dyDescent="0.3">
      <c r="A604"/>
      <c r="B604"/>
      <c r="C604"/>
    </row>
    <row r="605" spans="1:3" x14ac:dyDescent="0.3">
      <c r="A605"/>
      <c r="B605"/>
      <c r="C605"/>
    </row>
    <row r="606" spans="1:3" x14ac:dyDescent="0.3">
      <c r="A606"/>
      <c r="B606"/>
      <c r="C606"/>
    </row>
    <row r="607" spans="1:3" x14ac:dyDescent="0.3">
      <c r="A607"/>
      <c r="B607"/>
      <c r="C607"/>
    </row>
    <row r="608" spans="1:3" x14ac:dyDescent="0.3">
      <c r="A608"/>
      <c r="B608"/>
      <c r="C608"/>
    </row>
    <row r="609" spans="1:3" x14ac:dyDescent="0.3">
      <c r="A609"/>
      <c r="B609"/>
      <c r="C609"/>
    </row>
    <row r="610" spans="1:3" x14ac:dyDescent="0.3">
      <c r="A610"/>
      <c r="B610"/>
      <c r="C610"/>
    </row>
    <row r="611" spans="1:3" x14ac:dyDescent="0.3">
      <c r="A611"/>
      <c r="B611"/>
      <c r="C611"/>
    </row>
    <row r="612" spans="1:3" x14ac:dyDescent="0.3">
      <c r="A612"/>
      <c r="B612"/>
      <c r="C612"/>
    </row>
    <row r="613" spans="1:3" x14ac:dyDescent="0.3">
      <c r="A613"/>
      <c r="B613"/>
      <c r="C613"/>
    </row>
    <row r="614" spans="1:3" x14ac:dyDescent="0.3">
      <c r="A614"/>
      <c r="B614"/>
      <c r="C614"/>
    </row>
    <row r="615" spans="1:3" x14ac:dyDescent="0.3">
      <c r="A615"/>
      <c r="B615"/>
      <c r="C615"/>
    </row>
    <row r="616" spans="1:3" x14ac:dyDescent="0.3">
      <c r="A616"/>
      <c r="B616"/>
      <c r="C616"/>
    </row>
    <row r="617" spans="1:3" x14ac:dyDescent="0.3">
      <c r="A617"/>
      <c r="B617"/>
      <c r="C617"/>
    </row>
    <row r="618" spans="1:3" x14ac:dyDescent="0.3">
      <c r="A618"/>
      <c r="B618"/>
      <c r="C618"/>
    </row>
  </sheetData>
  <autoFilter ref="A1:C348" xr:uid="{8EDB25A6-CEB8-41DE-AA5F-63085C08CFAE}"/>
  <mergeCells count="1">
    <mergeCell ref="E1:G1"/>
  </mergeCells>
  <conditionalFormatting sqref="G2:G266">
    <cfRule type="expression" dxfId="0" priority="1">
      <formula>G2&lt;&gt;D2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095DE-D7D2-4461-8203-1C2079DF7416}">
  <sheetPr codeName="Sheet3"/>
  <dimension ref="A1:L419"/>
  <sheetViews>
    <sheetView tabSelected="1" workbookViewId="0">
      <selection activeCell="M17" sqref="M17"/>
    </sheetView>
  </sheetViews>
  <sheetFormatPr defaultRowHeight="14.4" x14ac:dyDescent="0.3"/>
  <sheetData>
    <row r="1" spans="1:12" x14ac:dyDescent="0.3">
      <c r="A1" t="s">
        <v>11</v>
      </c>
      <c r="B1" t="s">
        <v>17</v>
      </c>
      <c r="C1" t="s">
        <v>18</v>
      </c>
      <c r="D1" t="s">
        <v>0</v>
      </c>
      <c r="E1" t="s">
        <v>12</v>
      </c>
      <c r="F1" t="s">
        <v>19</v>
      </c>
      <c r="G1" t="s">
        <v>20</v>
      </c>
      <c r="H1" t="s">
        <v>21</v>
      </c>
      <c r="I1" t="s">
        <v>13</v>
      </c>
      <c r="J1" t="s">
        <v>14</v>
      </c>
      <c r="K1" t="s">
        <v>15</v>
      </c>
      <c r="L1" t="s">
        <v>16</v>
      </c>
    </row>
    <row r="2" spans="1:12" x14ac:dyDescent="0.3">
      <c r="A2">
        <v>892</v>
      </c>
      <c r="B2">
        <v>3</v>
      </c>
      <c r="C2" t="s">
        <v>22</v>
      </c>
      <c r="D2" t="s">
        <v>23</v>
      </c>
      <c r="E2">
        <v>34.5</v>
      </c>
      <c r="F2">
        <v>0</v>
      </c>
      <c r="G2">
        <v>0</v>
      </c>
      <c r="H2">
        <v>330911</v>
      </c>
      <c r="I2">
        <v>7.8292000000000002</v>
      </c>
      <c r="K2" t="s">
        <v>24</v>
      </c>
      <c r="L2">
        <v>0</v>
      </c>
    </row>
    <row r="3" spans="1:12" x14ac:dyDescent="0.3">
      <c r="A3">
        <v>893</v>
      </c>
      <c r="B3">
        <v>3</v>
      </c>
      <c r="C3" t="s">
        <v>25</v>
      </c>
      <c r="D3" t="s">
        <v>26</v>
      </c>
      <c r="E3">
        <v>47</v>
      </c>
      <c r="F3">
        <v>1</v>
      </c>
      <c r="G3">
        <v>0</v>
      </c>
      <c r="H3">
        <v>363272</v>
      </c>
      <c r="I3">
        <v>7</v>
      </c>
      <c r="K3" t="s">
        <v>27</v>
      </c>
      <c r="L3">
        <v>1</v>
      </c>
    </row>
    <row r="4" spans="1:12" x14ac:dyDescent="0.3">
      <c r="A4">
        <v>894</v>
      </c>
      <c r="B4">
        <v>2</v>
      </c>
      <c r="C4" t="s">
        <v>28</v>
      </c>
      <c r="D4" t="s">
        <v>23</v>
      </c>
      <c r="E4">
        <v>62</v>
      </c>
      <c r="F4">
        <v>0</v>
      </c>
      <c r="G4">
        <v>0</v>
      </c>
      <c r="H4">
        <v>240276</v>
      </c>
      <c r="I4">
        <v>9.6875</v>
      </c>
      <c r="K4" t="s">
        <v>24</v>
      </c>
      <c r="L4">
        <v>0</v>
      </c>
    </row>
    <row r="5" spans="1:12" x14ac:dyDescent="0.3">
      <c r="A5">
        <v>895</v>
      </c>
      <c r="B5">
        <v>3</v>
      </c>
      <c r="C5" t="s">
        <v>29</v>
      </c>
      <c r="D5" t="s">
        <v>23</v>
      </c>
      <c r="E5">
        <v>27</v>
      </c>
      <c r="F5">
        <v>0</v>
      </c>
      <c r="G5">
        <v>0</v>
      </c>
      <c r="H5">
        <v>315154</v>
      </c>
      <c r="I5">
        <v>8.6624999999999996</v>
      </c>
      <c r="K5" t="s">
        <v>27</v>
      </c>
      <c r="L5">
        <v>0</v>
      </c>
    </row>
    <row r="6" spans="1:12" x14ac:dyDescent="0.3">
      <c r="A6">
        <v>896</v>
      </c>
      <c r="B6">
        <v>3</v>
      </c>
      <c r="C6" t="s">
        <v>30</v>
      </c>
      <c r="D6" t="s">
        <v>26</v>
      </c>
      <c r="E6">
        <v>22</v>
      </c>
      <c r="F6">
        <v>1</v>
      </c>
      <c r="G6">
        <v>1</v>
      </c>
      <c r="H6">
        <v>3101298</v>
      </c>
      <c r="I6">
        <v>12.2875</v>
      </c>
      <c r="K6" t="s">
        <v>27</v>
      </c>
      <c r="L6">
        <v>1</v>
      </c>
    </row>
    <row r="7" spans="1:12" x14ac:dyDescent="0.3">
      <c r="A7">
        <v>897</v>
      </c>
      <c r="B7">
        <v>3</v>
      </c>
      <c r="C7" t="s">
        <v>31</v>
      </c>
      <c r="D7" t="s">
        <v>23</v>
      </c>
      <c r="E7">
        <v>14</v>
      </c>
      <c r="F7">
        <v>0</v>
      </c>
      <c r="G7">
        <v>0</v>
      </c>
      <c r="H7">
        <v>7538</v>
      </c>
      <c r="I7">
        <v>9.2249999999999996</v>
      </c>
      <c r="K7" t="s">
        <v>27</v>
      </c>
      <c r="L7">
        <v>0</v>
      </c>
    </row>
    <row r="8" spans="1:12" x14ac:dyDescent="0.3">
      <c r="A8">
        <v>898</v>
      </c>
      <c r="B8">
        <v>3</v>
      </c>
      <c r="C8" t="s">
        <v>32</v>
      </c>
      <c r="D8" t="s">
        <v>26</v>
      </c>
      <c r="E8">
        <v>30</v>
      </c>
      <c r="F8">
        <v>0</v>
      </c>
      <c r="G8">
        <v>0</v>
      </c>
      <c r="H8">
        <v>330972</v>
      </c>
      <c r="I8">
        <v>7.6292</v>
      </c>
      <c r="K8" t="s">
        <v>24</v>
      </c>
      <c r="L8">
        <v>1</v>
      </c>
    </row>
    <row r="9" spans="1:12" x14ac:dyDescent="0.3">
      <c r="A9">
        <v>899</v>
      </c>
      <c r="B9">
        <v>2</v>
      </c>
      <c r="C9" t="s">
        <v>33</v>
      </c>
      <c r="D9" t="s">
        <v>23</v>
      </c>
      <c r="E9">
        <v>26</v>
      </c>
      <c r="F9">
        <v>1</v>
      </c>
      <c r="G9">
        <v>1</v>
      </c>
      <c r="H9">
        <v>248738</v>
      </c>
      <c r="I9">
        <v>29</v>
      </c>
      <c r="K9" t="s">
        <v>27</v>
      </c>
      <c r="L9">
        <v>0</v>
      </c>
    </row>
    <row r="10" spans="1:12" x14ac:dyDescent="0.3">
      <c r="A10">
        <v>900</v>
      </c>
      <c r="B10">
        <v>3</v>
      </c>
      <c r="C10" t="s">
        <v>34</v>
      </c>
      <c r="D10" t="s">
        <v>26</v>
      </c>
      <c r="E10">
        <v>18</v>
      </c>
      <c r="F10">
        <v>0</v>
      </c>
      <c r="G10">
        <v>0</v>
      </c>
      <c r="H10">
        <v>2657</v>
      </c>
      <c r="I10">
        <v>7.2291999999999996</v>
      </c>
      <c r="K10" t="s">
        <v>35</v>
      </c>
      <c r="L10">
        <v>1</v>
      </c>
    </row>
    <row r="11" spans="1:12" x14ac:dyDescent="0.3">
      <c r="A11">
        <v>901</v>
      </c>
      <c r="B11">
        <v>3</v>
      </c>
      <c r="C11" t="s">
        <v>36</v>
      </c>
      <c r="D11" t="s">
        <v>23</v>
      </c>
      <c r="E11">
        <v>21</v>
      </c>
      <c r="F11">
        <v>2</v>
      </c>
      <c r="G11">
        <v>0</v>
      </c>
      <c r="H11" t="s">
        <v>37</v>
      </c>
      <c r="I11">
        <v>24.15</v>
      </c>
      <c r="K11" t="s">
        <v>27</v>
      </c>
      <c r="L11">
        <v>0</v>
      </c>
    </row>
    <row r="12" spans="1:12" x14ac:dyDescent="0.3">
      <c r="A12">
        <v>902</v>
      </c>
      <c r="B12">
        <v>3</v>
      </c>
      <c r="C12" t="s">
        <v>38</v>
      </c>
      <c r="D12" t="s">
        <v>23</v>
      </c>
      <c r="F12">
        <v>0</v>
      </c>
      <c r="G12">
        <v>0</v>
      </c>
      <c r="H12">
        <v>349220</v>
      </c>
      <c r="I12">
        <v>7.8958000000000004</v>
      </c>
      <c r="K12" t="s">
        <v>27</v>
      </c>
      <c r="L12">
        <v>0</v>
      </c>
    </row>
    <row r="13" spans="1:12" x14ac:dyDescent="0.3">
      <c r="A13">
        <v>903</v>
      </c>
      <c r="B13">
        <v>1</v>
      </c>
      <c r="C13" t="s">
        <v>39</v>
      </c>
      <c r="D13" t="s">
        <v>23</v>
      </c>
      <c r="E13">
        <v>46</v>
      </c>
      <c r="F13">
        <v>0</v>
      </c>
      <c r="G13">
        <v>0</v>
      </c>
      <c r="H13">
        <v>694</v>
      </c>
      <c r="I13">
        <v>26</v>
      </c>
      <c r="K13" t="s">
        <v>27</v>
      </c>
      <c r="L13">
        <v>0</v>
      </c>
    </row>
    <row r="14" spans="1:12" x14ac:dyDescent="0.3">
      <c r="A14">
        <v>904</v>
      </c>
      <c r="B14">
        <v>1</v>
      </c>
      <c r="C14" t="s">
        <v>40</v>
      </c>
      <c r="D14" t="s">
        <v>26</v>
      </c>
      <c r="E14">
        <v>23</v>
      </c>
      <c r="F14">
        <v>1</v>
      </c>
      <c r="G14">
        <v>0</v>
      </c>
      <c r="H14">
        <v>21228</v>
      </c>
      <c r="I14">
        <v>82.2667</v>
      </c>
      <c r="J14" t="s">
        <v>41</v>
      </c>
      <c r="K14" t="s">
        <v>27</v>
      </c>
      <c r="L14">
        <v>1</v>
      </c>
    </row>
    <row r="15" spans="1:12" x14ac:dyDescent="0.3">
      <c r="A15">
        <v>905</v>
      </c>
      <c r="B15">
        <v>2</v>
      </c>
      <c r="C15" t="s">
        <v>42</v>
      </c>
      <c r="D15" t="s">
        <v>23</v>
      </c>
      <c r="E15">
        <v>63</v>
      </c>
      <c r="F15">
        <v>1</v>
      </c>
      <c r="G15">
        <v>0</v>
      </c>
      <c r="H15">
        <v>24065</v>
      </c>
      <c r="I15">
        <v>26</v>
      </c>
      <c r="K15" t="s">
        <v>27</v>
      </c>
      <c r="L15">
        <v>0</v>
      </c>
    </row>
    <row r="16" spans="1:12" x14ac:dyDescent="0.3">
      <c r="A16">
        <v>906</v>
      </c>
      <c r="B16">
        <v>1</v>
      </c>
      <c r="C16" t="s">
        <v>43</v>
      </c>
      <c r="D16" t="s">
        <v>26</v>
      </c>
      <c r="E16">
        <v>47</v>
      </c>
      <c r="F16">
        <v>1</v>
      </c>
      <c r="G16">
        <v>0</v>
      </c>
      <c r="H16" t="s">
        <v>44</v>
      </c>
      <c r="I16">
        <v>61.174999999999997</v>
      </c>
      <c r="J16" t="s">
        <v>45</v>
      </c>
      <c r="K16" t="s">
        <v>27</v>
      </c>
      <c r="L16">
        <v>1</v>
      </c>
    </row>
    <row r="17" spans="1:12" x14ac:dyDescent="0.3">
      <c r="A17">
        <v>907</v>
      </c>
      <c r="B17">
        <v>2</v>
      </c>
      <c r="C17" t="s">
        <v>46</v>
      </c>
      <c r="D17" t="s">
        <v>26</v>
      </c>
      <c r="E17">
        <v>24</v>
      </c>
      <c r="F17">
        <v>1</v>
      </c>
      <c r="G17">
        <v>0</v>
      </c>
      <c r="H17" t="s">
        <v>47</v>
      </c>
      <c r="I17">
        <v>27.720800000000001</v>
      </c>
      <c r="K17" t="s">
        <v>35</v>
      </c>
      <c r="L17">
        <v>1</v>
      </c>
    </row>
    <row r="18" spans="1:12" x14ac:dyDescent="0.3">
      <c r="A18">
        <v>908</v>
      </c>
      <c r="B18">
        <v>2</v>
      </c>
      <c r="C18" t="s">
        <v>48</v>
      </c>
      <c r="D18" t="s">
        <v>23</v>
      </c>
      <c r="E18">
        <v>35</v>
      </c>
      <c r="F18">
        <v>0</v>
      </c>
      <c r="G18">
        <v>0</v>
      </c>
      <c r="H18">
        <v>233734</v>
      </c>
      <c r="I18">
        <v>12.35</v>
      </c>
      <c r="K18" t="s">
        <v>24</v>
      </c>
      <c r="L18">
        <v>0</v>
      </c>
    </row>
    <row r="19" spans="1:12" x14ac:dyDescent="0.3">
      <c r="A19">
        <v>909</v>
      </c>
      <c r="B19">
        <v>3</v>
      </c>
      <c r="C19" t="s">
        <v>49</v>
      </c>
      <c r="D19" t="s">
        <v>23</v>
      </c>
      <c r="E19">
        <v>21</v>
      </c>
      <c r="F19">
        <v>0</v>
      </c>
      <c r="G19">
        <v>0</v>
      </c>
      <c r="H19">
        <v>2692</v>
      </c>
      <c r="I19">
        <v>7.2249999999999996</v>
      </c>
      <c r="K19" t="s">
        <v>35</v>
      </c>
      <c r="L19">
        <v>0</v>
      </c>
    </row>
    <row r="20" spans="1:12" x14ac:dyDescent="0.3">
      <c r="A20">
        <v>910</v>
      </c>
      <c r="B20">
        <v>3</v>
      </c>
      <c r="C20" t="s">
        <v>50</v>
      </c>
      <c r="D20" t="s">
        <v>26</v>
      </c>
      <c r="E20">
        <v>27</v>
      </c>
      <c r="F20">
        <v>1</v>
      </c>
      <c r="G20">
        <v>0</v>
      </c>
      <c r="H20" t="s">
        <v>51</v>
      </c>
      <c r="I20">
        <v>7.9249999999999998</v>
      </c>
      <c r="K20" t="s">
        <v>27</v>
      </c>
      <c r="L20">
        <v>1</v>
      </c>
    </row>
    <row r="21" spans="1:12" x14ac:dyDescent="0.3">
      <c r="A21">
        <v>911</v>
      </c>
      <c r="B21">
        <v>3</v>
      </c>
      <c r="C21" t="s">
        <v>52</v>
      </c>
      <c r="D21" t="s">
        <v>26</v>
      </c>
      <c r="E21">
        <v>45</v>
      </c>
      <c r="F21">
        <v>0</v>
      </c>
      <c r="G21">
        <v>0</v>
      </c>
      <c r="H21">
        <v>2696</v>
      </c>
      <c r="I21">
        <v>7.2249999999999996</v>
      </c>
      <c r="K21" t="s">
        <v>35</v>
      </c>
      <c r="L21">
        <v>1</v>
      </c>
    </row>
    <row r="22" spans="1:12" x14ac:dyDescent="0.3">
      <c r="A22">
        <v>912</v>
      </c>
      <c r="B22">
        <v>1</v>
      </c>
      <c r="C22" t="s">
        <v>53</v>
      </c>
      <c r="D22" t="s">
        <v>23</v>
      </c>
      <c r="E22">
        <v>55</v>
      </c>
      <c r="F22">
        <v>1</v>
      </c>
      <c r="G22">
        <v>0</v>
      </c>
      <c r="H22" t="s">
        <v>54</v>
      </c>
      <c r="I22">
        <v>59.4</v>
      </c>
      <c r="K22" t="s">
        <v>35</v>
      </c>
      <c r="L22">
        <v>0</v>
      </c>
    </row>
    <row r="23" spans="1:12" x14ac:dyDescent="0.3">
      <c r="A23">
        <v>913</v>
      </c>
      <c r="B23">
        <v>3</v>
      </c>
      <c r="C23" t="s">
        <v>55</v>
      </c>
      <c r="D23" t="s">
        <v>23</v>
      </c>
      <c r="E23">
        <v>9</v>
      </c>
      <c r="F23">
        <v>0</v>
      </c>
      <c r="G23">
        <v>1</v>
      </c>
      <c r="H23" t="s">
        <v>56</v>
      </c>
      <c r="I23">
        <v>3.1707999999999998</v>
      </c>
      <c r="K23" t="s">
        <v>27</v>
      </c>
      <c r="L23">
        <v>1</v>
      </c>
    </row>
    <row r="24" spans="1:12" x14ac:dyDescent="0.3">
      <c r="A24">
        <v>914</v>
      </c>
      <c r="B24">
        <v>1</v>
      </c>
      <c r="C24" t="s">
        <v>57</v>
      </c>
      <c r="D24" t="s">
        <v>26</v>
      </c>
      <c r="F24">
        <v>0</v>
      </c>
      <c r="G24">
        <v>0</v>
      </c>
      <c r="H24" t="s">
        <v>58</v>
      </c>
      <c r="I24">
        <v>31.683299999999999</v>
      </c>
      <c r="K24" t="s">
        <v>27</v>
      </c>
      <c r="L24">
        <v>1</v>
      </c>
    </row>
    <row r="25" spans="1:12" x14ac:dyDescent="0.3">
      <c r="A25">
        <v>915</v>
      </c>
      <c r="B25">
        <v>1</v>
      </c>
      <c r="C25" t="s">
        <v>59</v>
      </c>
      <c r="D25" t="s">
        <v>23</v>
      </c>
      <c r="E25">
        <v>21</v>
      </c>
      <c r="F25">
        <v>0</v>
      </c>
      <c r="G25">
        <v>1</v>
      </c>
      <c r="H25" t="s">
        <v>60</v>
      </c>
      <c r="I25">
        <v>61.379199999999997</v>
      </c>
      <c r="K25" t="s">
        <v>35</v>
      </c>
      <c r="L25">
        <v>0</v>
      </c>
    </row>
    <row r="26" spans="1:12" x14ac:dyDescent="0.3">
      <c r="A26">
        <v>916</v>
      </c>
      <c r="B26">
        <v>1</v>
      </c>
      <c r="C26" t="s">
        <v>61</v>
      </c>
      <c r="D26" t="s">
        <v>26</v>
      </c>
      <c r="E26">
        <v>48</v>
      </c>
      <c r="F26">
        <v>1</v>
      </c>
      <c r="G26">
        <v>3</v>
      </c>
      <c r="H26" t="s">
        <v>62</v>
      </c>
      <c r="I26">
        <v>262.375</v>
      </c>
      <c r="J26" t="s">
        <v>63</v>
      </c>
      <c r="K26" t="s">
        <v>35</v>
      </c>
      <c r="L26">
        <v>1</v>
      </c>
    </row>
    <row r="27" spans="1:12" x14ac:dyDescent="0.3">
      <c r="A27">
        <v>917</v>
      </c>
      <c r="B27">
        <v>3</v>
      </c>
      <c r="C27" t="s">
        <v>64</v>
      </c>
      <c r="D27" t="s">
        <v>23</v>
      </c>
      <c r="E27">
        <v>50</v>
      </c>
      <c r="F27">
        <v>1</v>
      </c>
      <c r="G27">
        <v>0</v>
      </c>
      <c r="H27" t="s">
        <v>65</v>
      </c>
      <c r="I27">
        <v>14.5</v>
      </c>
      <c r="K27" t="s">
        <v>27</v>
      </c>
      <c r="L27">
        <v>0</v>
      </c>
    </row>
    <row r="28" spans="1:12" x14ac:dyDescent="0.3">
      <c r="A28">
        <v>918</v>
      </c>
      <c r="B28">
        <v>1</v>
      </c>
      <c r="C28" t="s">
        <v>66</v>
      </c>
      <c r="D28" t="s">
        <v>26</v>
      </c>
      <c r="E28">
        <v>22</v>
      </c>
      <c r="F28">
        <v>0</v>
      </c>
      <c r="G28">
        <v>1</v>
      </c>
      <c r="H28">
        <v>113509</v>
      </c>
      <c r="I28">
        <v>61.979199999999999</v>
      </c>
      <c r="J28" t="s">
        <v>67</v>
      </c>
      <c r="K28" t="s">
        <v>35</v>
      </c>
      <c r="L28">
        <v>1</v>
      </c>
    </row>
    <row r="29" spans="1:12" x14ac:dyDescent="0.3">
      <c r="A29">
        <v>919</v>
      </c>
      <c r="B29">
        <v>3</v>
      </c>
      <c r="C29" t="s">
        <v>68</v>
      </c>
      <c r="D29" t="s">
        <v>23</v>
      </c>
      <c r="E29">
        <v>22.5</v>
      </c>
      <c r="F29">
        <v>0</v>
      </c>
      <c r="G29">
        <v>0</v>
      </c>
      <c r="H29">
        <v>2698</v>
      </c>
      <c r="I29">
        <v>7.2249999999999996</v>
      </c>
      <c r="K29" t="s">
        <v>35</v>
      </c>
      <c r="L29">
        <v>0</v>
      </c>
    </row>
    <row r="30" spans="1:12" x14ac:dyDescent="0.3">
      <c r="A30">
        <v>920</v>
      </c>
      <c r="B30">
        <v>1</v>
      </c>
      <c r="C30" t="s">
        <v>69</v>
      </c>
      <c r="D30" t="s">
        <v>23</v>
      </c>
      <c r="E30">
        <v>41</v>
      </c>
      <c r="F30">
        <v>0</v>
      </c>
      <c r="G30">
        <v>0</v>
      </c>
      <c r="H30">
        <v>113054</v>
      </c>
      <c r="I30">
        <v>30.5</v>
      </c>
      <c r="J30" t="s">
        <v>70</v>
      </c>
      <c r="K30" t="s">
        <v>27</v>
      </c>
      <c r="L30">
        <v>0</v>
      </c>
    </row>
    <row r="31" spans="1:12" x14ac:dyDescent="0.3">
      <c r="A31">
        <v>921</v>
      </c>
      <c r="B31">
        <v>3</v>
      </c>
      <c r="C31" t="s">
        <v>71</v>
      </c>
      <c r="D31" t="s">
        <v>23</v>
      </c>
      <c r="F31">
        <v>2</v>
      </c>
      <c r="G31">
        <v>0</v>
      </c>
      <c r="H31">
        <v>2662</v>
      </c>
      <c r="I31">
        <v>21.679200000000002</v>
      </c>
      <c r="K31" t="s">
        <v>35</v>
      </c>
      <c r="L31">
        <v>0</v>
      </c>
    </row>
    <row r="32" spans="1:12" x14ac:dyDescent="0.3">
      <c r="A32">
        <v>922</v>
      </c>
      <c r="B32">
        <v>2</v>
      </c>
      <c r="C32" t="s">
        <v>72</v>
      </c>
      <c r="D32" t="s">
        <v>23</v>
      </c>
      <c r="E32">
        <v>50</v>
      </c>
      <c r="F32">
        <v>1</v>
      </c>
      <c r="G32">
        <v>0</v>
      </c>
      <c r="H32" t="s">
        <v>73</v>
      </c>
      <c r="I32">
        <v>26</v>
      </c>
      <c r="K32" t="s">
        <v>27</v>
      </c>
      <c r="L32">
        <v>0</v>
      </c>
    </row>
    <row r="33" spans="1:12" x14ac:dyDescent="0.3">
      <c r="A33">
        <v>923</v>
      </c>
      <c r="B33">
        <v>2</v>
      </c>
      <c r="C33" t="s">
        <v>74</v>
      </c>
      <c r="D33" t="s">
        <v>23</v>
      </c>
      <c r="E33">
        <v>24</v>
      </c>
      <c r="F33">
        <v>2</v>
      </c>
      <c r="G33">
        <v>0</v>
      </c>
      <c r="H33" t="s">
        <v>75</v>
      </c>
      <c r="I33">
        <v>31.5</v>
      </c>
      <c r="K33" t="s">
        <v>27</v>
      </c>
      <c r="L33">
        <v>0</v>
      </c>
    </row>
    <row r="34" spans="1:12" x14ac:dyDescent="0.3">
      <c r="A34">
        <v>924</v>
      </c>
      <c r="B34">
        <v>3</v>
      </c>
      <c r="C34" t="s">
        <v>76</v>
      </c>
      <c r="D34" t="s">
        <v>26</v>
      </c>
      <c r="E34">
        <v>33</v>
      </c>
      <c r="F34">
        <v>1</v>
      </c>
      <c r="G34">
        <v>2</v>
      </c>
      <c r="H34" t="s">
        <v>77</v>
      </c>
      <c r="I34">
        <v>20.574999999999999</v>
      </c>
      <c r="K34" t="s">
        <v>27</v>
      </c>
      <c r="L34">
        <v>0</v>
      </c>
    </row>
    <row r="35" spans="1:12" x14ac:dyDescent="0.3">
      <c r="A35">
        <v>925</v>
      </c>
      <c r="B35">
        <v>3</v>
      </c>
      <c r="C35" t="s">
        <v>78</v>
      </c>
      <c r="D35" t="s">
        <v>26</v>
      </c>
      <c r="F35">
        <v>1</v>
      </c>
      <c r="G35">
        <v>2</v>
      </c>
      <c r="H35" t="s">
        <v>79</v>
      </c>
      <c r="I35">
        <v>23.45</v>
      </c>
      <c r="K35" t="s">
        <v>27</v>
      </c>
      <c r="L35">
        <v>0</v>
      </c>
    </row>
    <row r="36" spans="1:12" x14ac:dyDescent="0.3">
      <c r="A36">
        <v>926</v>
      </c>
      <c r="B36">
        <v>1</v>
      </c>
      <c r="C36" t="s">
        <v>80</v>
      </c>
      <c r="D36" t="s">
        <v>23</v>
      </c>
      <c r="E36">
        <v>30</v>
      </c>
      <c r="F36">
        <v>1</v>
      </c>
      <c r="G36">
        <v>0</v>
      </c>
      <c r="H36">
        <v>13236</v>
      </c>
      <c r="I36">
        <v>57.75</v>
      </c>
      <c r="J36" t="s">
        <v>81</v>
      </c>
      <c r="K36" t="s">
        <v>35</v>
      </c>
      <c r="L36">
        <v>0</v>
      </c>
    </row>
    <row r="37" spans="1:12" x14ac:dyDescent="0.3">
      <c r="A37">
        <v>927</v>
      </c>
      <c r="B37">
        <v>3</v>
      </c>
      <c r="C37" t="s">
        <v>82</v>
      </c>
      <c r="D37" t="s">
        <v>23</v>
      </c>
      <c r="E37">
        <v>18.5</v>
      </c>
      <c r="F37">
        <v>0</v>
      </c>
      <c r="G37">
        <v>0</v>
      </c>
      <c r="H37">
        <v>2682</v>
      </c>
      <c r="I37">
        <v>7.2291999999999996</v>
      </c>
      <c r="K37" t="s">
        <v>35</v>
      </c>
      <c r="L37">
        <v>0</v>
      </c>
    </row>
    <row r="38" spans="1:12" x14ac:dyDescent="0.3">
      <c r="A38">
        <v>928</v>
      </c>
      <c r="B38">
        <v>3</v>
      </c>
      <c r="C38" t="s">
        <v>83</v>
      </c>
      <c r="D38" t="s">
        <v>26</v>
      </c>
      <c r="F38">
        <v>0</v>
      </c>
      <c r="G38">
        <v>0</v>
      </c>
      <c r="H38">
        <v>342712</v>
      </c>
      <c r="I38">
        <v>8.0500000000000007</v>
      </c>
      <c r="K38" t="s">
        <v>27</v>
      </c>
      <c r="L38">
        <v>1</v>
      </c>
    </row>
    <row r="39" spans="1:12" x14ac:dyDescent="0.3">
      <c r="A39">
        <v>929</v>
      </c>
      <c r="B39">
        <v>3</v>
      </c>
      <c r="C39" t="s">
        <v>84</v>
      </c>
      <c r="D39" t="s">
        <v>26</v>
      </c>
      <c r="E39">
        <v>21</v>
      </c>
      <c r="F39">
        <v>0</v>
      </c>
      <c r="G39">
        <v>0</v>
      </c>
      <c r="H39">
        <v>315087</v>
      </c>
      <c r="I39">
        <v>8.6624999999999996</v>
      </c>
      <c r="K39" t="s">
        <v>27</v>
      </c>
      <c r="L39">
        <v>1</v>
      </c>
    </row>
    <row r="40" spans="1:12" x14ac:dyDescent="0.3">
      <c r="A40">
        <v>930</v>
      </c>
      <c r="B40">
        <v>3</v>
      </c>
      <c r="C40" t="s">
        <v>85</v>
      </c>
      <c r="D40" t="s">
        <v>23</v>
      </c>
      <c r="E40">
        <v>25</v>
      </c>
      <c r="F40">
        <v>0</v>
      </c>
      <c r="G40">
        <v>0</v>
      </c>
      <c r="H40">
        <v>345768</v>
      </c>
      <c r="I40">
        <v>9.5</v>
      </c>
      <c r="K40" t="s">
        <v>27</v>
      </c>
      <c r="L40">
        <v>0</v>
      </c>
    </row>
    <row r="41" spans="1:12" x14ac:dyDescent="0.3">
      <c r="A41">
        <v>931</v>
      </c>
      <c r="B41">
        <v>3</v>
      </c>
      <c r="C41" t="s">
        <v>86</v>
      </c>
      <c r="D41" t="s">
        <v>23</v>
      </c>
      <c r="F41">
        <v>0</v>
      </c>
      <c r="G41">
        <v>0</v>
      </c>
      <c r="H41">
        <v>1601</v>
      </c>
      <c r="I41">
        <v>56.495800000000003</v>
      </c>
      <c r="K41" t="s">
        <v>27</v>
      </c>
      <c r="L41">
        <v>0</v>
      </c>
    </row>
    <row r="42" spans="1:12" x14ac:dyDescent="0.3">
      <c r="A42">
        <v>932</v>
      </c>
      <c r="B42">
        <v>3</v>
      </c>
      <c r="C42" t="s">
        <v>87</v>
      </c>
      <c r="D42" t="s">
        <v>23</v>
      </c>
      <c r="E42">
        <v>39</v>
      </c>
      <c r="F42">
        <v>0</v>
      </c>
      <c r="G42">
        <v>1</v>
      </c>
      <c r="H42">
        <v>349256</v>
      </c>
      <c r="I42">
        <v>13.416700000000001</v>
      </c>
      <c r="K42" t="s">
        <v>35</v>
      </c>
      <c r="L42">
        <v>0</v>
      </c>
    </row>
    <row r="43" spans="1:12" x14ac:dyDescent="0.3">
      <c r="A43">
        <v>933</v>
      </c>
      <c r="B43">
        <v>1</v>
      </c>
      <c r="C43" t="s">
        <v>88</v>
      </c>
      <c r="D43" t="s">
        <v>23</v>
      </c>
      <c r="F43">
        <v>0</v>
      </c>
      <c r="G43">
        <v>0</v>
      </c>
      <c r="H43">
        <v>113778</v>
      </c>
      <c r="I43">
        <v>26.55</v>
      </c>
      <c r="J43" t="s">
        <v>89</v>
      </c>
      <c r="K43" t="s">
        <v>27</v>
      </c>
      <c r="L43">
        <v>0</v>
      </c>
    </row>
    <row r="44" spans="1:12" x14ac:dyDescent="0.3">
      <c r="A44">
        <v>934</v>
      </c>
      <c r="B44">
        <v>3</v>
      </c>
      <c r="C44" t="s">
        <v>90</v>
      </c>
      <c r="D44" t="s">
        <v>23</v>
      </c>
      <c r="E44">
        <v>41</v>
      </c>
      <c r="F44">
        <v>0</v>
      </c>
      <c r="G44">
        <v>0</v>
      </c>
      <c r="H44" t="s">
        <v>91</v>
      </c>
      <c r="I44">
        <v>7.85</v>
      </c>
      <c r="K44" t="s">
        <v>27</v>
      </c>
      <c r="L44">
        <v>0</v>
      </c>
    </row>
    <row r="45" spans="1:12" x14ac:dyDescent="0.3">
      <c r="A45">
        <v>935</v>
      </c>
      <c r="B45">
        <v>2</v>
      </c>
      <c r="C45" t="s">
        <v>92</v>
      </c>
      <c r="D45" t="s">
        <v>26</v>
      </c>
      <c r="E45">
        <v>30</v>
      </c>
      <c r="F45">
        <v>0</v>
      </c>
      <c r="G45">
        <v>0</v>
      </c>
      <c r="H45">
        <v>237249</v>
      </c>
      <c r="I45">
        <v>13</v>
      </c>
      <c r="K45" t="s">
        <v>27</v>
      </c>
      <c r="L45">
        <v>1</v>
      </c>
    </row>
    <row r="46" spans="1:12" x14ac:dyDescent="0.3">
      <c r="A46">
        <v>936</v>
      </c>
      <c r="B46">
        <v>1</v>
      </c>
      <c r="C46" t="s">
        <v>93</v>
      </c>
      <c r="D46" t="s">
        <v>26</v>
      </c>
      <c r="E46">
        <v>45</v>
      </c>
      <c r="F46">
        <v>1</v>
      </c>
      <c r="G46">
        <v>0</v>
      </c>
      <c r="H46">
        <v>11753</v>
      </c>
      <c r="I46">
        <v>52.554200000000002</v>
      </c>
      <c r="J46" t="s">
        <v>94</v>
      </c>
      <c r="K46" t="s">
        <v>27</v>
      </c>
      <c r="L46">
        <v>1</v>
      </c>
    </row>
    <row r="47" spans="1:12" x14ac:dyDescent="0.3">
      <c r="A47">
        <v>937</v>
      </c>
      <c r="B47">
        <v>3</v>
      </c>
      <c r="C47" t="s">
        <v>95</v>
      </c>
      <c r="D47" t="s">
        <v>23</v>
      </c>
      <c r="E47">
        <v>25</v>
      </c>
      <c r="F47">
        <v>0</v>
      </c>
      <c r="G47">
        <v>0</v>
      </c>
      <c r="H47" t="s">
        <v>96</v>
      </c>
      <c r="I47">
        <v>7.9249999999999998</v>
      </c>
      <c r="K47" t="s">
        <v>27</v>
      </c>
      <c r="L47">
        <v>0</v>
      </c>
    </row>
    <row r="48" spans="1:12" x14ac:dyDescent="0.3">
      <c r="A48">
        <v>938</v>
      </c>
      <c r="B48">
        <v>1</v>
      </c>
      <c r="C48" t="s">
        <v>97</v>
      </c>
      <c r="D48" t="s">
        <v>23</v>
      </c>
      <c r="E48">
        <v>45</v>
      </c>
      <c r="F48">
        <v>0</v>
      </c>
      <c r="G48">
        <v>0</v>
      </c>
      <c r="H48" t="s">
        <v>98</v>
      </c>
      <c r="I48">
        <v>29.7</v>
      </c>
      <c r="J48" t="s">
        <v>99</v>
      </c>
      <c r="K48" t="s">
        <v>35</v>
      </c>
      <c r="L48">
        <v>0</v>
      </c>
    </row>
    <row r="49" spans="1:12" x14ac:dyDescent="0.3">
      <c r="A49">
        <v>939</v>
      </c>
      <c r="B49">
        <v>3</v>
      </c>
      <c r="C49" t="s">
        <v>100</v>
      </c>
      <c r="D49" t="s">
        <v>23</v>
      </c>
      <c r="F49">
        <v>0</v>
      </c>
      <c r="G49">
        <v>0</v>
      </c>
      <c r="H49">
        <v>370374</v>
      </c>
      <c r="I49">
        <v>7.75</v>
      </c>
      <c r="K49" t="s">
        <v>24</v>
      </c>
      <c r="L49">
        <v>0</v>
      </c>
    </row>
    <row r="50" spans="1:12" x14ac:dyDescent="0.3">
      <c r="A50">
        <v>940</v>
      </c>
      <c r="B50">
        <v>1</v>
      </c>
      <c r="C50" t="s">
        <v>101</v>
      </c>
      <c r="D50" t="s">
        <v>26</v>
      </c>
      <c r="E50">
        <v>60</v>
      </c>
      <c r="F50">
        <v>0</v>
      </c>
      <c r="G50">
        <v>0</v>
      </c>
      <c r="H50">
        <v>11813</v>
      </c>
      <c r="I50">
        <v>76.291700000000006</v>
      </c>
      <c r="J50" t="s">
        <v>102</v>
      </c>
      <c r="K50" t="s">
        <v>35</v>
      </c>
      <c r="L50">
        <v>1</v>
      </c>
    </row>
    <row r="51" spans="1:12" x14ac:dyDescent="0.3">
      <c r="A51">
        <v>941</v>
      </c>
      <c r="B51">
        <v>3</v>
      </c>
      <c r="C51" t="s">
        <v>103</v>
      </c>
      <c r="D51" t="s">
        <v>26</v>
      </c>
      <c r="E51">
        <v>36</v>
      </c>
      <c r="F51">
        <v>0</v>
      </c>
      <c r="G51">
        <v>2</v>
      </c>
      <c r="H51" t="s">
        <v>104</v>
      </c>
      <c r="I51">
        <v>15.9</v>
      </c>
      <c r="K51" t="s">
        <v>27</v>
      </c>
      <c r="L51">
        <v>1</v>
      </c>
    </row>
    <row r="52" spans="1:12" x14ac:dyDescent="0.3">
      <c r="A52">
        <v>942</v>
      </c>
      <c r="B52">
        <v>1</v>
      </c>
      <c r="C52" t="s">
        <v>105</v>
      </c>
      <c r="D52" t="s">
        <v>23</v>
      </c>
      <c r="E52">
        <v>24</v>
      </c>
      <c r="F52">
        <v>1</v>
      </c>
      <c r="G52">
        <v>0</v>
      </c>
      <c r="H52">
        <v>13695</v>
      </c>
      <c r="I52">
        <v>60</v>
      </c>
      <c r="J52" t="s">
        <v>106</v>
      </c>
      <c r="K52" t="s">
        <v>27</v>
      </c>
      <c r="L52">
        <v>0</v>
      </c>
    </row>
    <row r="53" spans="1:12" x14ac:dyDescent="0.3">
      <c r="A53">
        <v>943</v>
      </c>
      <c r="B53">
        <v>2</v>
      </c>
      <c r="C53" t="s">
        <v>107</v>
      </c>
      <c r="D53" t="s">
        <v>23</v>
      </c>
      <c r="E53">
        <v>27</v>
      </c>
      <c r="F53">
        <v>0</v>
      </c>
      <c r="G53">
        <v>0</v>
      </c>
      <c r="H53" t="s">
        <v>108</v>
      </c>
      <c r="I53">
        <v>15.033300000000001</v>
      </c>
      <c r="K53" t="s">
        <v>35</v>
      </c>
      <c r="L53">
        <v>0</v>
      </c>
    </row>
    <row r="54" spans="1:12" x14ac:dyDescent="0.3">
      <c r="A54">
        <v>944</v>
      </c>
      <c r="B54">
        <v>2</v>
      </c>
      <c r="C54" t="s">
        <v>109</v>
      </c>
      <c r="D54" t="s">
        <v>26</v>
      </c>
      <c r="E54">
        <v>20</v>
      </c>
      <c r="F54">
        <v>2</v>
      </c>
      <c r="G54">
        <v>1</v>
      </c>
      <c r="H54">
        <v>29105</v>
      </c>
      <c r="I54">
        <v>23</v>
      </c>
      <c r="K54" t="s">
        <v>27</v>
      </c>
      <c r="L54">
        <v>1</v>
      </c>
    </row>
    <row r="55" spans="1:12" x14ac:dyDescent="0.3">
      <c r="A55">
        <v>945</v>
      </c>
      <c r="B55">
        <v>1</v>
      </c>
      <c r="C55" t="s">
        <v>110</v>
      </c>
      <c r="D55" t="s">
        <v>26</v>
      </c>
      <c r="E55">
        <v>28</v>
      </c>
      <c r="F55">
        <v>3</v>
      </c>
      <c r="G55">
        <v>2</v>
      </c>
      <c r="H55">
        <v>19950</v>
      </c>
      <c r="I55">
        <v>263</v>
      </c>
      <c r="J55" t="s">
        <v>111</v>
      </c>
      <c r="K55" t="s">
        <v>27</v>
      </c>
      <c r="L55">
        <v>1</v>
      </c>
    </row>
    <row r="56" spans="1:12" x14ac:dyDescent="0.3">
      <c r="A56">
        <v>946</v>
      </c>
      <c r="B56">
        <v>2</v>
      </c>
      <c r="C56" t="s">
        <v>112</v>
      </c>
      <c r="D56" t="s">
        <v>23</v>
      </c>
      <c r="F56">
        <v>0</v>
      </c>
      <c r="G56">
        <v>0</v>
      </c>
      <c r="H56" t="s">
        <v>113</v>
      </c>
      <c r="I56">
        <v>15.5792</v>
      </c>
      <c r="K56" t="s">
        <v>35</v>
      </c>
      <c r="L56">
        <v>0</v>
      </c>
    </row>
    <row r="57" spans="1:12" x14ac:dyDescent="0.3">
      <c r="A57">
        <v>947</v>
      </c>
      <c r="B57">
        <v>3</v>
      </c>
      <c r="C57" t="s">
        <v>114</v>
      </c>
      <c r="D57" t="s">
        <v>23</v>
      </c>
      <c r="E57">
        <v>10</v>
      </c>
      <c r="F57">
        <v>4</v>
      </c>
      <c r="G57">
        <v>1</v>
      </c>
      <c r="H57">
        <v>382652</v>
      </c>
      <c r="I57">
        <v>29.125</v>
      </c>
      <c r="K57" t="s">
        <v>24</v>
      </c>
      <c r="L57">
        <v>0</v>
      </c>
    </row>
    <row r="58" spans="1:12" x14ac:dyDescent="0.3">
      <c r="A58">
        <v>948</v>
      </c>
      <c r="B58">
        <v>3</v>
      </c>
      <c r="C58" t="s">
        <v>115</v>
      </c>
      <c r="D58" t="s">
        <v>23</v>
      </c>
      <c r="E58">
        <v>35</v>
      </c>
      <c r="F58">
        <v>0</v>
      </c>
      <c r="G58">
        <v>0</v>
      </c>
      <c r="H58">
        <v>349230</v>
      </c>
      <c r="I58">
        <v>7.8958000000000004</v>
      </c>
      <c r="K58" t="s">
        <v>27</v>
      </c>
      <c r="L58">
        <v>0</v>
      </c>
    </row>
    <row r="59" spans="1:12" x14ac:dyDescent="0.3">
      <c r="A59">
        <v>949</v>
      </c>
      <c r="B59">
        <v>3</v>
      </c>
      <c r="C59" t="s">
        <v>116</v>
      </c>
      <c r="D59" t="s">
        <v>23</v>
      </c>
      <c r="E59">
        <v>25</v>
      </c>
      <c r="F59">
        <v>0</v>
      </c>
      <c r="G59">
        <v>0</v>
      </c>
      <c r="H59">
        <v>348122</v>
      </c>
      <c r="I59">
        <v>7.65</v>
      </c>
      <c r="J59" t="s">
        <v>117</v>
      </c>
      <c r="K59" t="s">
        <v>27</v>
      </c>
      <c r="L59">
        <v>0</v>
      </c>
    </row>
    <row r="60" spans="1:12" x14ac:dyDescent="0.3">
      <c r="A60">
        <v>950</v>
      </c>
      <c r="B60">
        <v>3</v>
      </c>
      <c r="C60" t="s">
        <v>118</v>
      </c>
      <c r="D60" t="s">
        <v>23</v>
      </c>
      <c r="F60">
        <v>1</v>
      </c>
      <c r="G60">
        <v>0</v>
      </c>
      <c r="H60">
        <v>386525</v>
      </c>
      <c r="I60">
        <v>16.100000000000001</v>
      </c>
      <c r="K60" t="s">
        <v>27</v>
      </c>
      <c r="L60">
        <v>0</v>
      </c>
    </row>
    <row r="61" spans="1:12" x14ac:dyDescent="0.3">
      <c r="A61">
        <v>951</v>
      </c>
      <c r="B61">
        <v>1</v>
      </c>
      <c r="C61" t="s">
        <v>119</v>
      </c>
      <c r="D61" t="s">
        <v>26</v>
      </c>
      <c r="E61">
        <v>36</v>
      </c>
      <c r="F61">
        <v>0</v>
      </c>
      <c r="G61">
        <v>0</v>
      </c>
      <c r="H61" t="s">
        <v>62</v>
      </c>
      <c r="I61">
        <v>262.375</v>
      </c>
      <c r="J61" t="s">
        <v>120</v>
      </c>
      <c r="K61" t="s">
        <v>35</v>
      </c>
      <c r="L61">
        <v>1</v>
      </c>
    </row>
    <row r="62" spans="1:12" x14ac:dyDescent="0.3">
      <c r="A62">
        <v>952</v>
      </c>
      <c r="B62">
        <v>3</v>
      </c>
      <c r="C62" t="s">
        <v>121</v>
      </c>
      <c r="D62" t="s">
        <v>23</v>
      </c>
      <c r="E62">
        <v>17</v>
      </c>
      <c r="F62">
        <v>0</v>
      </c>
      <c r="G62">
        <v>0</v>
      </c>
      <c r="H62">
        <v>349232</v>
      </c>
      <c r="I62">
        <v>7.8958000000000004</v>
      </c>
      <c r="K62" t="s">
        <v>27</v>
      </c>
      <c r="L62">
        <v>0</v>
      </c>
    </row>
    <row r="63" spans="1:12" x14ac:dyDescent="0.3">
      <c r="A63">
        <v>953</v>
      </c>
      <c r="B63">
        <v>2</v>
      </c>
      <c r="C63" t="s">
        <v>122</v>
      </c>
      <c r="D63" t="s">
        <v>23</v>
      </c>
      <c r="E63">
        <v>32</v>
      </c>
      <c r="F63">
        <v>0</v>
      </c>
      <c r="G63">
        <v>0</v>
      </c>
      <c r="H63">
        <v>237216</v>
      </c>
      <c r="I63">
        <v>13.5</v>
      </c>
      <c r="K63" t="s">
        <v>27</v>
      </c>
      <c r="L63">
        <v>0</v>
      </c>
    </row>
    <row r="64" spans="1:12" x14ac:dyDescent="0.3">
      <c r="A64">
        <v>954</v>
      </c>
      <c r="B64">
        <v>3</v>
      </c>
      <c r="C64" t="s">
        <v>123</v>
      </c>
      <c r="D64" t="s">
        <v>23</v>
      </c>
      <c r="E64">
        <v>18</v>
      </c>
      <c r="F64">
        <v>0</v>
      </c>
      <c r="G64">
        <v>0</v>
      </c>
      <c r="H64">
        <v>347090</v>
      </c>
      <c r="I64">
        <v>7.75</v>
      </c>
      <c r="K64" t="s">
        <v>27</v>
      </c>
      <c r="L64">
        <v>0</v>
      </c>
    </row>
    <row r="65" spans="1:12" x14ac:dyDescent="0.3">
      <c r="A65">
        <v>955</v>
      </c>
      <c r="B65">
        <v>3</v>
      </c>
      <c r="C65" t="s">
        <v>124</v>
      </c>
      <c r="D65" t="s">
        <v>26</v>
      </c>
      <c r="E65">
        <v>22</v>
      </c>
      <c r="F65">
        <v>0</v>
      </c>
      <c r="G65">
        <v>0</v>
      </c>
      <c r="H65">
        <v>334914</v>
      </c>
      <c r="I65">
        <v>7.7249999999999996</v>
      </c>
      <c r="K65" t="s">
        <v>24</v>
      </c>
      <c r="L65">
        <v>1</v>
      </c>
    </row>
    <row r="66" spans="1:12" x14ac:dyDescent="0.3">
      <c r="A66">
        <v>956</v>
      </c>
      <c r="B66">
        <v>1</v>
      </c>
      <c r="C66" t="s">
        <v>125</v>
      </c>
      <c r="D66" t="s">
        <v>23</v>
      </c>
      <c r="E66">
        <v>13</v>
      </c>
      <c r="F66">
        <v>2</v>
      </c>
      <c r="G66">
        <v>2</v>
      </c>
      <c r="H66" t="s">
        <v>62</v>
      </c>
      <c r="I66">
        <v>262.375</v>
      </c>
      <c r="J66" t="s">
        <v>63</v>
      </c>
      <c r="K66" t="s">
        <v>35</v>
      </c>
      <c r="L66">
        <v>1</v>
      </c>
    </row>
    <row r="67" spans="1:12" x14ac:dyDescent="0.3">
      <c r="A67">
        <v>957</v>
      </c>
      <c r="B67">
        <v>2</v>
      </c>
      <c r="C67" t="s">
        <v>126</v>
      </c>
      <c r="D67" t="s">
        <v>26</v>
      </c>
      <c r="F67">
        <v>0</v>
      </c>
      <c r="G67">
        <v>0</v>
      </c>
      <c r="H67" t="s">
        <v>127</v>
      </c>
      <c r="I67">
        <v>21</v>
      </c>
      <c r="K67" t="s">
        <v>27</v>
      </c>
      <c r="L67">
        <v>1</v>
      </c>
    </row>
    <row r="68" spans="1:12" x14ac:dyDescent="0.3">
      <c r="A68">
        <v>958</v>
      </c>
      <c r="B68">
        <v>3</v>
      </c>
      <c r="C68" t="s">
        <v>128</v>
      </c>
      <c r="D68" t="s">
        <v>26</v>
      </c>
      <c r="E68">
        <v>18</v>
      </c>
      <c r="F68">
        <v>0</v>
      </c>
      <c r="G68">
        <v>0</v>
      </c>
      <c r="H68">
        <v>330963</v>
      </c>
      <c r="I68">
        <v>7.8792</v>
      </c>
      <c r="K68" t="s">
        <v>24</v>
      </c>
      <c r="L68">
        <v>1</v>
      </c>
    </row>
    <row r="69" spans="1:12" x14ac:dyDescent="0.3">
      <c r="A69">
        <v>959</v>
      </c>
      <c r="B69">
        <v>1</v>
      </c>
      <c r="C69" t="s">
        <v>129</v>
      </c>
      <c r="D69" t="s">
        <v>23</v>
      </c>
      <c r="E69">
        <v>47</v>
      </c>
      <c r="F69">
        <v>0</v>
      </c>
      <c r="G69">
        <v>0</v>
      </c>
      <c r="H69">
        <v>113796</v>
      </c>
      <c r="I69">
        <v>42.4</v>
      </c>
      <c r="K69" t="s">
        <v>27</v>
      </c>
      <c r="L69">
        <v>0</v>
      </c>
    </row>
    <row r="70" spans="1:12" x14ac:dyDescent="0.3">
      <c r="A70">
        <v>960</v>
      </c>
      <c r="B70">
        <v>1</v>
      </c>
      <c r="C70" t="s">
        <v>130</v>
      </c>
      <c r="D70" t="s">
        <v>23</v>
      </c>
      <c r="E70">
        <v>31</v>
      </c>
      <c r="F70">
        <v>0</v>
      </c>
      <c r="G70">
        <v>0</v>
      </c>
      <c r="H70">
        <v>2543</v>
      </c>
      <c r="I70">
        <v>28.537500000000001</v>
      </c>
      <c r="J70" t="s">
        <v>131</v>
      </c>
      <c r="K70" t="s">
        <v>35</v>
      </c>
      <c r="L70">
        <v>0</v>
      </c>
    </row>
    <row r="71" spans="1:12" x14ac:dyDescent="0.3">
      <c r="A71">
        <v>961</v>
      </c>
      <c r="B71">
        <v>1</v>
      </c>
      <c r="C71" t="s">
        <v>132</v>
      </c>
      <c r="D71" t="s">
        <v>26</v>
      </c>
      <c r="E71">
        <v>60</v>
      </c>
      <c r="F71">
        <v>1</v>
      </c>
      <c r="G71">
        <v>4</v>
      </c>
      <c r="H71">
        <v>19950</v>
      </c>
      <c r="I71">
        <v>263</v>
      </c>
      <c r="J71" t="s">
        <v>111</v>
      </c>
      <c r="K71" t="s">
        <v>27</v>
      </c>
      <c r="L71">
        <v>1</v>
      </c>
    </row>
    <row r="72" spans="1:12" x14ac:dyDescent="0.3">
      <c r="A72">
        <v>962</v>
      </c>
      <c r="B72">
        <v>3</v>
      </c>
      <c r="C72" t="s">
        <v>133</v>
      </c>
      <c r="D72" t="s">
        <v>26</v>
      </c>
      <c r="E72">
        <v>24</v>
      </c>
      <c r="F72">
        <v>0</v>
      </c>
      <c r="G72">
        <v>0</v>
      </c>
      <c r="H72">
        <v>382653</v>
      </c>
      <c r="I72">
        <v>7.75</v>
      </c>
      <c r="K72" t="s">
        <v>24</v>
      </c>
      <c r="L72">
        <v>1</v>
      </c>
    </row>
    <row r="73" spans="1:12" x14ac:dyDescent="0.3">
      <c r="A73">
        <v>963</v>
      </c>
      <c r="B73">
        <v>3</v>
      </c>
      <c r="C73" t="s">
        <v>134</v>
      </c>
      <c r="D73" t="s">
        <v>23</v>
      </c>
      <c r="E73">
        <v>21</v>
      </c>
      <c r="F73">
        <v>0</v>
      </c>
      <c r="G73">
        <v>0</v>
      </c>
      <c r="H73">
        <v>349211</v>
      </c>
      <c r="I73">
        <v>7.8958000000000004</v>
      </c>
      <c r="K73" t="s">
        <v>27</v>
      </c>
      <c r="L73">
        <v>0</v>
      </c>
    </row>
    <row r="74" spans="1:12" x14ac:dyDescent="0.3">
      <c r="A74">
        <v>964</v>
      </c>
      <c r="B74">
        <v>3</v>
      </c>
      <c r="C74" t="s">
        <v>135</v>
      </c>
      <c r="D74" t="s">
        <v>26</v>
      </c>
      <c r="E74">
        <v>29</v>
      </c>
      <c r="F74">
        <v>0</v>
      </c>
      <c r="G74">
        <v>0</v>
      </c>
      <c r="H74">
        <v>3101297</v>
      </c>
      <c r="I74">
        <v>7.9249999999999998</v>
      </c>
      <c r="K74" t="s">
        <v>27</v>
      </c>
      <c r="L74">
        <v>1</v>
      </c>
    </row>
    <row r="75" spans="1:12" x14ac:dyDescent="0.3">
      <c r="A75">
        <v>965</v>
      </c>
      <c r="B75">
        <v>1</v>
      </c>
      <c r="C75" t="s">
        <v>136</v>
      </c>
      <c r="D75" t="s">
        <v>23</v>
      </c>
      <c r="E75">
        <v>28.5</v>
      </c>
      <c r="F75">
        <v>0</v>
      </c>
      <c r="G75">
        <v>0</v>
      </c>
      <c r="H75" t="s">
        <v>137</v>
      </c>
      <c r="I75">
        <v>27.720800000000001</v>
      </c>
      <c r="J75" t="s">
        <v>138</v>
      </c>
      <c r="K75" t="s">
        <v>35</v>
      </c>
      <c r="L75">
        <v>0</v>
      </c>
    </row>
    <row r="76" spans="1:12" x14ac:dyDescent="0.3">
      <c r="A76">
        <v>966</v>
      </c>
      <c r="B76">
        <v>1</v>
      </c>
      <c r="C76" t="s">
        <v>139</v>
      </c>
      <c r="D76" t="s">
        <v>26</v>
      </c>
      <c r="E76">
        <v>35</v>
      </c>
      <c r="F76">
        <v>0</v>
      </c>
      <c r="G76">
        <v>0</v>
      </c>
      <c r="H76">
        <v>113503</v>
      </c>
      <c r="I76">
        <v>211.5</v>
      </c>
      <c r="J76" t="s">
        <v>140</v>
      </c>
      <c r="K76" t="s">
        <v>35</v>
      </c>
      <c r="L76">
        <v>1</v>
      </c>
    </row>
    <row r="77" spans="1:12" x14ac:dyDescent="0.3">
      <c r="A77">
        <v>967</v>
      </c>
      <c r="B77">
        <v>1</v>
      </c>
      <c r="C77" t="s">
        <v>141</v>
      </c>
      <c r="D77" t="s">
        <v>23</v>
      </c>
      <c r="E77">
        <v>32.5</v>
      </c>
      <c r="F77">
        <v>0</v>
      </c>
      <c r="G77">
        <v>0</v>
      </c>
      <c r="H77">
        <v>113503</v>
      </c>
      <c r="I77">
        <v>211.5</v>
      </c>
      <c r="J77" t="s">
        <v>142</v>
      </c>
      <c r="K77" t="s">
        <v>35</v>
      </c>
      <c r="L77">
        <v>0</v>
      </c>
    </row>
    <row r="78" spans="1:12" x14ac:dyDescent="0.3">
      <c r="A78">
        <v>968</v>
      </c>
      <c r="B78">
        <v>3</v>
      </c>
      <c r="C78" t="s">
        <v>143</v>
      </c>
      <c r="D78" t="s">
        <v>23</v>
      </c>
      <c r="F78">
        <v>0</v>
      </c>
      <c r="G78">
        <v>0</v>
      </c>
      <c r="H78">
        <v>359306</v>
      </c>
      <c r="I78">
        <v>8.0500000000000007</v>
      </c>
      <c r="K78" t="s">
        <v>27</v>
      </c>
      <c r="L78">
        <v>0</v>
      </c>
    </row>
    <row r="79" spans="1:12" x14ac:dyDescent="0.3">
      <c r="A79">
        <v>969</v>
      </c>
      <c r="B79">
        <v>1</v>
      </c>
      <c r="C79" t="s">
        <v>144</v>
      </c>
      <c r="D79" t="s">
        <v>26</v>
      </c>
      <c r="E79">
        <v>55</v>
      </c>
      <c r="F79">
        <v>2</v>
      </c>
      <c r="G79">
        <v>0</v>
      </c>
      <c r="H79">
        <v>11770</v>
      </c>
      <c r="I79">
        <v>25.7</v>
      </c>
      <c r="J79" t="s">
        <v>145</v>
      </c>
      <c r="K79" t="s">
        <v>27</v>
      </c>
      <c r="L79">
        <v>1</v>
      </c>
    </row>
    <row r="80" spans="1:12" x14ac:dyDescent="0.3">
      <c r="A80">
        <v>970</v>
      </c>
      <c r="B80">
        <v>2</v>
      </c>
      <c r="C80" t="s">
        <v>146</v>
      </c>
      <c r="D80" t="s">
        <v>23</v>
      </c>
      <c r="E80">
        <v>30</v>
      </c>
      <c r="F80">
        <v>0</v>
      </c>
      <c r="G80">
        <v>0</v>
      </c>
      <c r="H80">
        <v>248744</v>
      </c>
      <c r="I80">
        <v>13</v>
      </c>
      <c r="K80" t="s">
        <v>27</v>
      </c>
      <c r="L80">
        <v>0</v>
      </c>
    </row>
    <row r="81" spans="1:12" x14ac:dyDescent="0.3">
      <c r="A81">
        <v>971</v>
      </c>
      <c r="B81">
        <v>3</v>
      </c>
      <c r="C81" t="s">
        <v>147</v>
      </c>
      <c r="D81" t="s">
        <v>26</v>
      </c>
      <c r="E81">
        <v>24</v>
      </c>
      <c r="F81">
        <v>0</v>
      </c>
      <c r="G81">
        <v>0</v>
      </c>
      <c r="H81">
        <v>368702</v>
      </c>
      <c r="I81">
        <v>7.75</v>
      </c>
      <c r="K81" t="s">
        <v>24</v>
      </c>
      <c r="L81">
        <v>1</v>
      </c>
    </row>
    <row r="82" spans="1:12" x14ac:dyDescent="0.3">
      <c r="A82">
        <v>972</v>
      </c>
      <c r="B82">
        <v>3</v>
      </c>
      <c r="C82" t="s">
        <v>148</v>
      </c>
      <c r="D82" t="s">
        <v>23</v>
      </c>
      <c r="E82">
        <v>6</v>
      </c>
      <c r="F82">
        <v>1</v>
      </c>
      <c r="G82">
        <v>1</v>
      </c>
      <c r="H82">
        <v>2678</v>
      </c>
      <c r="I82">
        <v>15.245799999999999</v>
      </c>
      <c r="K82" t="s">
        <v>35</v>
      </c>
      <c r="L82">
        <v>1</v>
      </c>
    </row>
    <row r="83" spans="1:12" x14ac:dyDescent="0.3">
      <c r="A83">
        <v>973</v>
      </c>
      <c r="B83">
        <v>1</v>
      </c>
      <c r="C83" t="s">
        <v>149</v>
      </c>
      <c r="D83" t="s">
        <v>23</v>
      </c>
      <c r="E83">
        <v>67</v>
      </c>
      <c r="F83">
        <v>1</v>
      </c>
      <c r="G83">
        <v>0</v>
      </c>
      <c r="H83" t="s">
        <v>150</v>
      </c>
      <c r="I83">
        <v>221.7792</v>
      </c>
      <c r="J83" t="s">
        <v>151</v>
      </c>
      <c r="K83" t="s">
        <v>27</v>
      </c>
      <c r="L83">
        <v>0</v>
      </c>
    </row>
    <row r="84" spans="1:12" x14ac:dyDescent="0.3">
      <c r="A84">
        <v>974</v>
      </c>
      <c r="B84">
        <v>1</v>
      </c>
      <c r="C84" t="s">
        <v>152</v>
      </c>
      <c r="D84" t="s">
        <v>23</v>
      </c>
      <c r="E84">
        <v>49</v>
      </c>
      <c r="F84">
        <v>0</v>
      </c>
      <c r="G84">
        <v>0</v>
      </c>
      <c r="H84">
        <v>19924</v>
      </c>
      <c r="I84">
        <v>26</v>
      </c>
      <c r="K84" t="s">
        <v>27</v>
      </c>
      <c r="L84">
        <v>0</v>
      </c>
    </row>
    <row r="85" spans="1:12" x14ac:dyDescent="0.3">
      <c r="A85">
        <v>975</v>
      </c>
      <c r="B85">
        <v>3</v>
      </c>
      <c r="C85" t="s">
        <v>153</v>
      </c>
      <c r="D85" t="s">
        <v>23</v>
      </c>
      <c r="F85">
        <v>0</v>
      </c>
      <c r="G85">
        <v>0</v>
      </c>
      <c r="H85">
        <v>349238</v>
      </c>
      <c r="I85">
        <v>7.8958000000000004</v>
      </c>
      <c r="K85" t="s">
        <v>27</v>
      </c>
      <c r="L85">
        <v>0</v>
      </c>
    </row>
    <row r="86" spans="1:12" x14ac:dyDescent="0.3">
      <c r="A86">
        <v>976</v>
      </c>
      <c r="B86">
        <v>2</v>
      </c>
      <c r="C86" t="s">
        <v>154</v>
      </c>
      <c r="D86" t="s">
        <v>23</v>
      </c>
      <c r="F86">
        <v>0</v>
      </c>
      <c r="G86">
        <v>0</v>
      </c>
      <c r="H86">
        <v>240261</v>
      </c>
      <c r="I86">
        <v>10.708299999999999</v>
      </c>
      <c r="K86" t="s">
        <v>24</v>
      </c>
      <c r="L86">
        <v>0</v>
      </c>
    </row>
    <row r="87" spans="1:12" x14ac:dyDescent="0.3">
      <c r="A87">
        <v>977</v>
      </c>
      <c r="B87">
        <v>3</v>
      </c>
      <c r="C87" t="s">
        <v>155</v>
      </c>
      <c r="D87" t="s">
        <v>23</v>
      </c>
      <c r="F87">
        <v>1</v>
      </c>
      <c r="G87">
        <v>0</v>
      </c>
      <c r="H87">
        <v>2660</v>
      </c>
      <c r="I87">
        <v>14.4542</v>
      </c>
      <c r="K87" t="s">
        <v>35</v>
      </c>
      <c r="L87">
        <v>0</v>
      </c>
    </row>
    <row r="88" spans="1:12" x14ac:dyDescent="0.3">
      <c r="A88">
        <v>978</v>
      </c>
      <c r="B88">
        <v>3</v>
      </c>
      <c r="C88" t="s">
        <v>156</v>
      </c>
      <c r="D88" t="s">
        <v>26</v>
      </c>
      <c r="E88">
        <v>27</v>
      </c>
      <c r="F88">
        <v>0</v>
      </c>
      <c r="G88">
        <v>0</v>
      </c>
      <c r="H88">
        <v>330844</v>
      </c>
      <c r="I88">
        <v>7.8792</v>
      </c>
      <c r="K88" t="s">
        <v>24</v>
      </c>
      <c r="L88">
        <v>1</v>
      </c>
    </row>
    <row r="89" spans="1:12" x14ac:dyDescent="0.3">
      <c r="A89">
        <v>979</v>
      </c>
      <c r="B89">
        <v>3</v>
      </c>
      <c r="C89" t="s">
        <v>157</v>
      </c>
      <c r="D89" t="s">
        <v>26</v>
      </c>
      <c r="E89">
        <v>18</v>
      </c>
      <c r="F89">
        <v>0</v>
      </c>
      <c r="G89">
        <v>0</v>
      </c>
      <c r="H89" t="s">
        <v>158</v>
      </c>
      <c r="I89">
        <v>8.0500000000000007</v>
      </c>
      <c r="K89" t="s">
        <v>27</v>
      </c>
      <c r="L89">
        <v>1</v>
      </c>
    </row>
    <row r="90" spans="1:12" x14ac:dyDescent="0.3">
      <c r="A90">
        <v>980</v>
      </c>
      <c r="B90">
        <v>3</v>
      </c>
      <c r="C90" t="s">
        <v>159</v>
      </c>
      <c r="D90" t="s">
        <v>26</v>
      </c>
      <c r="F90">
        <v>0</v>
      </c>
      <c r="G90">
        <v>0</v>
      </c>
      <c r="H90">
        <v>364856</v>
      </c>
      <c r="I90">
        <v>7.75</v>
      </c>
      <c r="K90" t="s">
        <v>24</v>
      </c>
      <c r="L90">
        <v>1</v>
      </c>
    </row>
    <row r="91" spans="1:12" x14ac:dyDescent="0.3">
      <c r="A91">
        <v>981</v>
      </c>
      <c r="B91">
        <v>2</v>
      </c>
      <c r="C91" t="s">
        <v>160</v>
      </c>
      <c r="D91" t="s">
        <v>23</v>
      </c>
      <c r="E91">
        <v>2</v>
      </c>
      <c r="F91">
        <v>1</v>
      </c>
      <c r="G91">
        <v>1</v>
      </c>
      <c r="H91">
        <v>29103</v>
      </c>
      <c r="I91">
        <v>23</v>
      </c>
      <c r="K91" t="s">
        <v>27</v>
      </c>
      <c r="L91">
        <v>1</v>
      </c>
    </row>
    <row r="92" spans="1:12" x14ac:dyDescent="0.3">
      <c r="A92">
        <v>982</v>
      </c>
      <c r="B92">
        <v>3</v>
      </c>
      <c r="C92" t="s">
        <v>161</v>
      </c>
      <c r="D92" t="s">
        <v>26</v>
      </c>
      <c r="E92">
        <v>22</v>
      </c>
      <c r="F92">
        <v>1</v>
      </c>
      <c r="G92">
        <v>0</v>
      </c>
      <c r="H92">
        <v>347072</v>
      </c>
      <c r="I92">
        <v>13.9</v>
      </c>
      <c r="K92" t="s">
        <v>27</v>
      </c>
      <c r="L92">
        <v>1</v>
      </c>
    </row>
    <row r="93" spans="1:12" x14ac:dyDescent="0.3">
      <c r="A93">
        <v>983</v>
      </c>
      <c r="B93">
        <v>3</v>
      </c>
      <c r="C93" t="s">
        <v>162</v>
      </c>
      <c r="D93" t="s">
        <v>23</v>
      </c>
      <c r="F93">
        <v>0</v>
      </c>
      <c r="G93">
        <v>0</v>
      </c>
      <c r="H93">
        <v>345498</v>
      </c>
      <c r="I93">
        <v>7.7750000000000004</v>
      </c>
      <c r="K93" t="s">
        <v>27</v>
      </c>
      <c r="L93">
        <v>0</v>
      </c>
    </row>
    <row r="94" spans="1:12" x14ac:dyDescent="0.3">
      <c r="A94">
        <v>984</v>
      </c>
      <c r="B94">
        <v>1</v>
      </c>
      <c r="C94" t="s">
        <v>163</v>
      </c>
      <c r="D94" t="s">
        <v>26</v>
      </c>
      <c r="E94">
        <v>27</v>
      </c>
      <c r="F94">
        <v>1</v>
      </c>
      <c r="G94">
        <v>2</v>
      </c>
      <c r="H94" t="s">
        <v>164</v>
      </c>
      <c r="I94">
        <v>52</v>
      </c>
      <c r="J94" t="s">
        <v>165</v>
      </c>
      <c r="K94" t="s">
        <v>27</v>
      </c>
      <c r="L94">
        <v>1</v>
      </c>
    </row>
    <row r="95" spans="1:12" x14ac:dyDescent="0.3">
      <c r="A95">
        <v>985</v>
      </c>
      <c r="B95">
        <v>3</v>
      </c>
      <c r="C95" t="s">
        <v>166</v>
      </c>
      <c r="D95" t="s">
        <v>23</v>
      </c>
      <c r="F95">
        <v>0</v>
      </c>
      <c r="G95">
        <v>0</v>
      </c>
      <c r="H95">
        <v>376563</v>
      </c>
      <c r="I95">
        <v>8.0500000000000007</v>
      </c>
      <c r="K95" t="s">
        <v>27</v>
      </c>
      <c r="L95">
        <v>0</v>
      </c>
    </row>
    <row r="96" spans="1:12" x14ac:dyDescent="0.3">
      <c r="A96">
        <v>986</v>
      </c>
      <c r="B96">
        <v>1</v>
      </c>
      <c r="C96" t="s">
        <v>167</v>
      </c>
      <c r="D96" t="s">
        <v>23</v>
      </c>
      <c r="E96">
        <v>25</v>
      </c>
      <c r="F96">
        <v>0</v>
      </c>
      <c r="G96">
        <v>0</v>
      </c>
      <c r="H96">
        <v>13905</v>
      </c>
      <c r="I96">
        <v>26</v>
      </c>
      <c r="K96" t="s">
        <v>35</v>
      </c>
      <c r="L96">
        <v>0</v>
      </c>
    </row>
    <row r="97" spans="1:12" x14ac:dyDescent="0.3">
      <c r="A97">
        <v>987</v>
      </c>
      <c r="B97">
        <v>3</v>
      </c>
      <c r="C97" t="s">
        <v>168</v>
      </c>
      <c r="D97" t="s">
        <v>23</v>
      </c>
      <c r="E97">
        <v>25</v>
      </c>
      <c r="F97">
        <v>0</v>
      </c>
      <c r="G97">
        <v>0</v>
      </c>
      <c r="H97">
        <v>350033</v>
      </c>
      <c r="I97">
        <v>7.7957999999999998</v>
      </c>
      <c r="K97" t="s">
        <v>27</v>
      </c>
      <c r="L97">
        <v>0</v>
      </c>
    </row>
    <row r="98" spans="1:12" x14ac:dyDescent="0.3">
      <c r="A98">
        <v>988</v>
      </c>
      <c r="B98">
        <v>1</v>
      </c>
      <c r="C98" t="s">
        <v>169</v>
      </c>
      <c r="D98" t="s">
        <v>26</v>
      </c>
      <c r="E98">
        <v>76</v>
      </c>
      <c r="F98">
        <v>1</v>
      </c>
      <c r="G98">
        <v>0</v>
      </c>
      <c r="H98">
        <v>19877</v>
      </c>
      <c r="I98">
        <v>78.849999999999994</v>
      </c>
      <c r="J98" t="s">
        <v>170</v>
      </c>
      <c r="K98" t="s">
        <v>27</v>
      </c>
      <c r="L98">
        <v>1</v>
      </c>
    </row>
    <row r="99" spans="1:12" x14ac:dyDescent="0.3">
      <c r="A99">
        <v>989</v>
      </c>
      <c r="B99">
        <v>3</v>
      </c>
      <c r="C99" t="s">
        <v>171</v>
      </c>
      <c r="D99" t="s">
        <v>23</v>
      </c>
      <c r="E99">
        <v>29</v>
      </c>
      <c r="F99">
        <v>0</v>
      </c>
      <c r="G99">
        <v>0</v>
      </c>
      <c r="H99" t="s">
        <v>172</v>
      </c>
      <c r="I99">
        <v>7.9249999999999998</v>
      </c>
      <c r="K99" t="s">
        <v>27</v>
      </c>
      <c r="L99">
        <v>0</v>
      </c>
    </row>
    <row r="100" spans="1:12" x14ac:dyDescent="0.3">
      <c r="A100">
        <v>990</v>
      </c>
      <c r="B100">
        <v>3</v>
      </c>
      <c r="C100" t="s">
        <v>173</v>
      </c>
      <c r="D100" t="s">
        <v>26</v>
      </c>
      <c r="E100">
        <v>20</v>
      </c>
      <c r="F100">
        <v>0</v>
      </c>
      <c r="G100">
        <v>0</v>
      </c>
      <c r="H100">
        <v>347471</v>
      </c>
      <c r="I100">
        <v>7.8541999999999996</v>
      </c>
      <c r="K100" t="s">
        <v>27</v>
      </c>
      <c r="L100">
        <v>1</v>
      </c>
    </row>
    <row r="101" spans="1:12" x14ac:dyDescent="0.3">
      <c r="A101">
        <v>991</v>
      </c>
      <c r="B101">
        <v>3</v>
      </c>
      <c r="C101" t="s">
        <v>174</v>
      </c>
      <c r="D101" t="s">
        <v>23</v>
      </c>
      <c r="E101">
        <v>33</v>
      </c>
      <c r="F101">
        <v>0</v>
      </c>
      <c r="G101">
        <v>0</v>
      </c>
      <c r="H101" t="s">
        <v>175</v>
      </c>
      <c r="I101">
        <v>8.0500000000000007</v>
      </c>
      <c r="K101" t="s">
        <v>27</v>
      </c>
      <c r="L101">
        <v>0</v>
      </c>
    </row>
    <row r="102" spans="1:12" x14ac:dyDescent="0.3">
      <c r="A102">
        <v>992</v>
      </c>
      <c r="B102">
        <v>1</v>
      </c>
      <c r="C102" t="s">
        <v>176</v>
      </c>
      <c r="D102" t="s">
        <v>26</v>
      </c>
      <c r="E102">
        <v>43</v>
      </c>
      <c r="F102">
        <v>1</v>
      </c>
      <c r="G102">
        <v>0</v>
      </c>
      <c r="H102">
        <v>11778</v>
      </c>
      <c r="I102">
        <v>55.441699999999997</v>
      </c>
      <c r="J102" t="s">
        <v>177</v>
      </c>
      <c r="K102" t="s">
        <v>35</v>
      </c>
      <c r="L102">
        <v>1</v>
      </c>
    </row>
    <row r="103" spans="1:12" x14ac:dyDescent="0.3">
      <c r="A103">
        <v>993</v>
      </c>
      <c r="B103">
        <v>2</v>
      </c>
      <c r="C103" t="s">
        <v>178</v>
      </c>
      <c r="D103" t="s">
        <v>23</v>
      </c>
      <c r="E103">
        <v>27</v>
      </c>
      <c r="F103">
        <v>1</v>
      </c>
      <c r="G103">
        <v>0</v>
      </c>
      <c r="H103">
        <v>228414</v>
      </c>
      <c r="I103">
        <v>26</v>
      </c>
      <c r="K103" t="s">
        <v>27</v>
      </c>
      <c r="L103">
        <v>0</v>
      </c>
    </row>
    <row r="104" spans="1:12" x14ac:dyDescent="0.3">
      <c r="A104">
        <v>994</v>
      </c>
      <c r="B104">
        <v>3</v>
      </c>
      <c r="C104" t="s">
        <v>179</v>
      </c>
      <c r="D104" t="s">
        <v>23</v>
      </c>
      <c r="F104">
        <v>0</v>
      </c>
      <c r="G104">
        <v>0</v>
      </c>
      <c r="H104">
        <v>365235</v>
      </c>
      <c r="I104">
        <v>7.75</v>
      </c>
      <c r="K104" t="s">
        <v>24</v>
      </c>
      <c r="L104">
        <v>0</v>
      </c>
    </row>
    <row r="105" spans="1:12" x14ac:dyDescent="0.3">
      <c r="A105">
        <v>995</v>
      </c>
      <c r="B105">
        <v>3</v>
      </c>
      <c r="C105" t="s">
        <v>180</v>
      </c>
      <c r="D105" t="s">
        <v>23</v>
      </c>
      <c r="E105">
        <v>26</v>
      </c>
      <c r="F105">
        <v>0</v>
      </c>
      <c r="G105">
        <v>0</v>
      </c>
      <c r="H105">
        <v>347070</v>
      </c>
      <c r="I105">
        <v>7.7750000000000004</v>
      </c>
      <c r="K105" t="s">
        <v>27</v>
      </c>
      <c r="L105">
        <v>0</v>
      </c>
    </row>
    <row r="106" spans="1:12" x14ac:dyDescent="0.3">
      <c r="A106">
        <v>996</v>
      </c>
      <c r="B106">
        <v>3</v>
      </c>
      <c r="C106" t="s">
        <v>181</v>
      </c>
      <c r="D106" t="s">
        <v>26</v>
      </c>
      <c r="E106">
        <v>16</v>
      </c>
      <c r="F106">
        <v>1</v>
      </c>
      <c r="G106">
        <v>1</v>
      </c>
      <c r="H106">
        <v>2625</v>
      </c>
      <c r="I106">
        <v>8.5167000000000002</v>
      </c>
      <c r="K106" t="s">
        <v>35</v>
      </c>
      <c r="L106">
        <v>1</v>
      </c>
    </row>
    <row r="107" spans="1:12" x14ac:dyDescent="0.3">
      <c r="A107">
        <v>997</v>
      </c>
      <c r="B107">
        <v>3</v>
      </c>
      <c r="C107" t="s">
        <v>182</v>
      </c>
      <c r="D107" t="s">
        <v>23</v>
      </c>
      <c r="E107">
        <v>28</v>
      </c>
      <c r="F107">
        <v>0</v>
      </c>
      <c r="G107">
        <v>0</v>
      </c>
      <c r="H107" t="s">
        <v>183</v>
      </c>
      <c r="I107">
        <v>22.524999999999999</v>
      </c>
      <c r="K107" t="s">
        <v>27</v>
      </c>
      <c r="L107">
        <v>0</v>
      </c>
    </row>
    <row r="108" spans="1:12" x14ac:dyDescent="0.3">
      <c r="A108">
        <v>998</v>
      </c>
      <c r="B108">
        <v>3</v>
      </c>
      <c r="C108" t="s">
        <v>184</v>
      </c>
      <c r="D108" t="s">
        <v>23</v>
      </c>
      <c r="E108">
        <v>21</v>
      </c>
      <c r="F108">
        <v>0</v>
      </c>
      <c r="G108">
        <v>0</v>
      </c>
      <c r="H108">
        <v>330920</v>
      </c>
      <c r="I108">
        <v>7.8208000000000002</v>
      </c>
      <c r="K108" t="s">
        <v>24</v>
      </c>
      <c r="L108">
        <v>0</v>
      </c>
    </row>
    <row r="109" spans="1:12" x14ac:dyDescent="0.3">
      <c r="A109">
        <v>999</v>
      </c>
      <c r="B109">
        <v>3</v>
      </c>
      <c r="C109" t="s">
        <v>185</v>
      </c>
      <c r="D109" t="s">
        <v>23</v>
      </c>
      <c r="F109">
        <v>0</v>
      </c>
      <c r="G109">
        <v>0</v>
      </c>
      <c r="H109">
        <v>383162</v>
      </c>
      <c r="I109">
        <v>7.75</v>
      </c>
      <c r="K109" t="s">
        <v>24</v>
      </c>
      <c r="L109">
        <v>0</v>
      </c>
    </row>
    <row r="110" spans="1:12" x14ac:dyDescent="0.3">
      <c r="A110">
        <v>1000</v>
      </c>
      <c r="B110">
        <v>3</v>
      </c>
      <c r="C110" t="s">
        <v>186</v>
      </c>
      <c r="D110" t="s">
        <v>23</v>
      </c>
      <c r="F110">
        <v>0</v>
      </c>
      <c r="G110">
        <v>0</v>
      </c>
      <c r="H110">
        <v>3410</v>
      </c>
      <c r="I110">
        <v>8.7125000000000004</v>
      </c>
      <c r="K110" t="s">
        <v>27</v>
      </c>
      <c r="L110">
        <v>0</v>
      </c>
    </row>
    <row r="111" spans="1:12" x14ac:dyDescent="0.3">
      <c r="A111">
        <v>1001</v>
      </c>
      <c r="B111">
        <v>2</v>
      </c>
      <c r="C111" t="s">
        <v>187</v>
      </c>
      <c r="D111" t="s">
        <v>23</v>
      </c>
      <c r="E111">
        <v>18.5</v>
      </c>
      <c r="F111">
        <v>0</v>
      </c>
      <c r="G111">
        <v>0</v>
      </c>
      <c r="H111">
        <v>248734</v>
      </c>
      <c r="I111">
        <v>13</v>
      </c>
      <c r="J111" t="s">
        <v>188</v>
      </c>
      <c r="K111" t="s">
        <v>27</v>
      </c>
      <c r="L111">
        <v>0</v>
      </c>
    </row>
    <row r="112" spans="1:12" x14ac:dyDescent="0.3">
      <c r="A112">
        <v>1002</v>
      </c>
      <c r="B112">
        <v>2</v>
      </c>
      <c r="C112" t="s">
        <v>189</v>
      </c>
      <c r="D112" t="s">
        <v>23</v>
      </c>
      <c r="E112">
        <v>41</v>
      </c>
      <c r="F112">
        <v>0</v>
      </c>
      <c r="G112">
        <v>0</v>
      </c>
      <c r="H112">
        <v>237734</v>
      </c>
      <c r="I112">
        <v>15.0458</v>
      </c>
      <c r="K112" t="s">
        <v>35</v>
      </c>
      <c r="L112">
        <v>0</v>
      </c>
    </row>
    <row r="113" spans="1:12" x14ac:dyDescent="0.3">
      <c r="A113">
        <v>1003</v>
      </c>
      <c r="B113">
        <v>3</v>
      </c>
      <c r="C113" t="s">
        <v>190</v>
      </c>
      <c r="D113" t="s">
        <v>26</v>
      </c>
      <c r="F113">
        <v>0</v>
      </c>
      <c r="G113">
        <v>0</v>
      </c>
      <c r="H113">
        <v>330968</v>
      </c>
      <c r="I113">
        <v>7.7792000000000003</v>
      </c>
      <c r="K113" t="s">
        <v>24</v>
      </c>
      <c r="L113">
        <v>1</v>
      </c>
    </row>
    <row r="114" spans="1:12" x14ac:dyDescent="0.3">
      <c r="A114">
        <v>1004</v>
      </c>
      <c r="B114">
        <v>1</v>
      </c>
      <c r="C114" t="s">
        <v>191</v>
      </c>
      <c r="D114" t="s">
        <v>26</v>
      </c>
      <c r="E114">
        <v>36</v>
      </c>
      <c r="F114">
        <v>0</v>
      </c>
      <c r="G114">
        <v>0</v>
      </c>
      <c r="H114" t="s">
        <v>192</v>
      </c>
      <c r="I114">
        <v>31.679200000000002</v>
      </c>
      <c r="J114" t="s">
        <v>193</v>
      </c>
      <c r="K114" t="s">
        <v>35</v>
      </c>
      <c r="L114">
        <v>1</v>
      </c>
    </row>
    <row r="115" spans="1:12" x14ac:dyDescent="0.3">
      <c r="A115">
        <v>1005</v>
      </c>
      <c r="B115">
        <v>3</v>
      </c>
      <c r="C115" t="s">
        <v>194</v>
      </c>
      <c r="D115" t="s">
        <v>26</v>
      </c>
      <c r="E115">
        <v>18.5</v>
      </c>
      <c r="F115">
        <v>0</v>
      </c>
      <c r="G115">
        <v>0</v>
      </c>
      <c r="H115">
        <v>329944</v>
      </c>
      <c r="I115">
        <v>7.2832999999999997</v>
      </c>
      <c r="K115" t="s">
        <v>24</v>
      </c>
      <c r="L115">
        <v>1</v>
      </c>
    </row>
    <row r="116" spans="1:12" x14ac:dyDescent="0.3">
      <c r="A116">
        <v>1006</v>
      </c>
      <c r="B116">
        <v>1</v>
      </c>
      <c r="C116" t="s">
        <v>195</v>
      </c>
      <c r="D116" t="s">
        <v>26</v>
      </c>
      <c r="E116">
        <v>63</v>
      </c>
      <c r="F116">
        <v>1</v>
      </c>
      <c r="G116">
        <v>0</v>
      </c>
      <c r="H116" t="s">
        <v>150</v>
      </c>
      <c r="I116">
        <v>221.7792</v>
      </c>
      <c r="J116" t="s">
        <v>151</v>
      </c>
      <c r="K116" t="s">
        <v>27</v>
      </c>
      <c r="L116">
        <v>1</v>
      </c>
    </row>
    <row r="117" spans="1:12" x14ac:dyDescent="0.3">
      <c r="A117">
        <v>1007</v>
      </c>
      <c r="B117">
        <v>3</v>
      </c>
      <c r="C117" t="s">
        <v>196</v>
      </c>
      <c r="D117" t="s">
        <v>23</v>
      </c>
      <c r="E117">
        <v>18</v>
      </c>
      <c r="F117">
        <v>1</v>
      </c>
      <c r="G117">
        <v>0</v>
      </c>
      <c r="H117">
        <v>2680</v>
      </c>
      <c r="I117">
        <v>14.4542</v>
      </c>
      <c r="K117" t="s">
        <v>35</v>
      </c>
      <c r="L117">
        <v>0</v>
      </c>
    </row>
    <row r="118" spans="1:12" x14ac:dyDescent="0.3">
      <c r="A118">
        <v>1008</v>
      </c>
      <c r="B118">
        <v>3</v>
      </c>
      <c r="C118" t="s">
        <v>197</v>
      </c>
      <c r="D118" t="s">
        <v>23</v>
      </c>
      <c r="F118">
        <v>0</v>
      </c>
      <c r="G118">
        <v>0</v>
      </c>
      <c r="H118">
        <v>2681</v>
      </c>
      <c r="I118">
        <v>6.4375</v>
      </c>
      <c r="K118" t="s">
        <v>35</v>
      </c>
      <c r="L118">
        <v>0</v>
      </c>
    </row>
    <row r="119" spans="1:12" x14ac:dyDescent="0.3">
      <c r="A119">
        <v>1009</v>
      </c>
      <c r="B119">
        <v>3</v>
      </c>
      <c r="C119" t="s">
        <v>198</v>
      </c>
      <c r="D119" t="s">
        <v>26</v>
      </c>
      <c r="E119">
        <v>1</v>
      </c>
      <c r="F119">
        <v>1</v>
      </c>
      <c r="G119">
        <v>1</v>
      </c>
      <c r="H119" t="s">
        <v>199</v>
      </c>
      <c r="I119">
        <v>16.7</v>
      </c>
      <c r="J119" t="s">
        <v>200</v>
      </c>
      <c r="K119" t="s">
        <v>27</v>
      </c>
      <c r="L119">
        <v>1</v>
      </c>
    </row>
    <row r="120" spans="1:12" x14ac:dyDescent="0.3">
      <c r="A120">
        <v>1010</v>
      </c>
      <c r="B120">
        <v>1</v>
      </c>
      <c r="C120" t="s">
        <v>201</v>
      </c>
      <c r="D120" t="s">
        <v>23</v>
      </c>
      <c r="E120">
        <v>36</v>
      </c>
      <c r="F120">
        <v>0</v>
      </c>
      <c r="G120">
        <v>0</v>
      </c>
      <c r="H120">
        <v>13050</v>
      </c>
      <c r="I120">
        <v>75.241699999999994</v>
      </c>
      <c r="J120" t="s">
        <v>202</v>
      </c>
      <c r="K120" t="s">
        <v>35</v>
      </c>
      <c r="L120">
        <v>0</v>
      </c>
    </row>
    <row r="121" spans="1:12" x14ac:dyDescent="0.3">
      <c r="A121">
        <v>1011</v>
      </c>
      <c r="B121">
        <v>2</v>
      </c>
      <c r="C121" t="s">
        <v>203</v>
      </c>
      <c r="D121" t="s">
        <v>26</v>
      </c>
      <c r="E121">
        <v>29</v>
      </c>
      <c r="F121">
        <v>1</v>
      </c>
      <c r="G121">
        <v>0</v>
      </c>
      <c r="H121" t="s">
        <v>204</v>
      </c>
      <c r="I121">
        <v>26</v>
      </c>
      <c r="K121" t="s">
        <v>27</v>
      </c>
      <c r="L121">
        <v>1</v>
      </c>
    </row>
    <row r="122" spans="1:12" x14ac:dyDescent="0.3">
      <c r="A122">
        <v>1012</v>
      </c>
      <c r="B122">
        <v>2</v>
      </c>
      <c r="C122" t="s">
        <v>205</v>
      </c>
      <c r="D122" t="s">
        <v>26</v>
      </c>
      <c r="E122">
        <v>12</v>
      </c>
      <c r="F122">
        <v>0</v>
      </c>
      <c r="G122">
        <v>0</v>
      </c>
      <c r="H122" t="s">
        <v>206</v>
      </c>
      <c r="I122">
        <v>15.75</v>
      </c>
      <c r="K122" t="s">
        <v>27</v>
      </c>
      <c r="L122">
        <v>1</v>
      </c>
    </row>
    <row r="123" spans="1:12" x14ac:dyDescent="0.3">
      <c r="A123">
        <v>1013</v>
      </c>
      <c r="B123">
        <v>3</v>
      </c>
      <c r="C123" t="s">
        <v>207</v>
      </c>
      <c r="D123" t="s">
        <v>23</v>
      </c>
      <c r="F123">
        <v>1</v>
      </c>
      <c r="G123">
        <v>0</v>
      </c>
      <c r="H123">
        <v>367227</v>
      </c>
      <c r="I123">
        <v>7.75</v>
      </c>
      <c r="K123" t="s">
        <v>24</v>
      </c>
      <c r="L123">
        <v>0</v>
      </c>
    </row>
    <row r="124" spans="1:12" x14ac:dyDescent="0.3">
      <c r="A124">
        <v>1014</v>
      </c>
      <c r="B124">
        <v>1</v>
      </c>
      <c r="C124" t="s">
        <v>208</v>
      </c>
      <c r="D124" t="s">
        <v>26</v>
      </c>
      <c r="E124">
        <v>35</v>
      </c>
      <c r="F124">
        <v>1</v>
      </c>
      <c r="G124">
        <v>0</v>
      </c>
      <c r="H124">
        <v>13236</v>
      </c>
      <c r="I124">
        <v>57.75</v>
      </c>
      <c r="J124" t="s">
        <v>209</v>
      </c>
      <c r="K124" t="s">
        <v>35</v>
      </c>
      <c r="L124">
        <v>1</v>
      </c>
    </row>
    <row r="125" spans="1:12" x14ac:dyDescent="0.3">
      <c r="A125">
        <v>1015</v>
      </c>
      <c r="B125">
        <v>3</v>
      </c>
      <c r="C125" t="s">
        <v>210</v>
      </c>
      <c r="D125" t="s">
        <v>23</v>
      </c>
      <c r="E125">
        <v>28</v>
      </c>
      <c r="F125">
        <v>0</v>
      </c>
      <c r="G125">
        <v>0</v>
      </c>
      <c r="H125">
        <v>392095</v>
      </c>
      <c r="I125">
        <v>7.25</v>
      </c>
      <c r="K125" t="s">
        <v>27</v>
      </c>
      <c r="L125">
        <v>0</v>
      </c>
    </row>
    <row r="126" spans="1:12" x14ac:dyDescent="0.3">
      <c r="A126">
        <v>1016</v>
      </c>
      <c r="B126">
        <v>3</v>
      </c>
      <c r="C126" t="s">
        <v>211</v>
      </c>
      <c r="D126" t="s">
        <v>23</v>
      </c>
      <c r="F126">
        <v>0</v>
      </c>
      <c r="G126">
        <v>0</v>
      </c>
      <c r="H126">
        <v>368783</v>
      </c>
      <c r="I126">
        <v>7.75</v>
      </c>
      <c r="K126" t="s">
        <v>24</v>
      </c>
      <c r="L126">
        <v>0</v>
      </c>
    </row>
    <row r="127" spans="1:12" x14ac:dyDescent="0.3">
      <c r="A127">
        <v>1017</v>
      </c>
      <c r="B127">
        <v>3</v>
      </c>
      <c r="C127" t="s">
        <v>212</v>
      </c>
      <c r="D127" t="s">
        <v>26</v>
      </c>
      <c r="E127">
        <v>17</v>
      </c>
      <c r="F127">
        <v>0</v>
      </c>
      <c r="G127">
        <v>1</v>
      </c>
      <c r="H127">
        <v>371362</v>
      </c>
      <c r="I127">
        <v>16.100000000000001</v>
      </c>
      <c r="K127" t="s">
        <v>27</v>
      </c>
      <c r="L127">
        <v>1</v>
      </c>
    </row>
    <row r="128" spans="1:12" x14ac:dyDescent="0.3">
      <c r="A128">
        <v>1018</v>
      </c>
      <c r="B128">
        <v>3</v>
      </c>
      <c r="C128" t="s">
        <v>213</v>
      </c>
      <c r="D128" t="s">
        <v>23</v>
      </c>
      <c r="E128">
        <v>22</v>
      </c>
      <c r="F128">
        <v>0</v>
      </c>
      <c r="G128">
        <v>0</v>
      </c>
      <c r="H128">
        <v>350045</v>
      </c>
      <c r="I128">
        <v>7.7957999999999998</v>
      </c>
      <c r="K128" t="s">
        <v>27</v>
      </c>
      <c r="L128">
        <v>0</v>
      </c>
    </row>
    <row r="129" spans="1:12" x14ac:dyDescent="0.3">
      <c r="A129">
        <v>1019</v>
      </c>
      <c r="B129">
        <v>3</v>
      </c>
      <c r="C129" t="s">
        <v>214</v>
      </c>
      <c r="D129" t="s">
        <v>26</v>
      </c>
      <c r="F129">
        <v>2</v>
      </c>
      <c r="G129">
        <v>0</v>
      </c>
      <c r="H129">
        <v>367226</v>
      </c>
      <c r="I129">
        <v>23.25</v>
      </c>
      <c r="K129" t="s">
        <v>24</v>
      </c>
      <c r="L129">
        <v>1</v>
      </c>
    </row>
    <row r="130" spans="1:12" x14ac:dyDescent="0.3">
      <c r="A130">
        <v>1020</v>
      </c>
      <c r="B130">
        <v>2</v>
      </c>
      <c r="C130" t="s">
        <v>215</v>
      </c>
      <c r="D130" t="s">
        <v>23</v>
      </c>
      <c r="E130">
        <v>42</v>
      </c>
      <c r="F130">
        <v>0</v>
      </c>
      <c r="G130">
        <v>0</v>
      </c>
      <c r="H130">
        <v>211535</v>
      </c>
      <c r="I130">
        <v>13</v>
      </c>
      <c r="K130" t="s">
        <v>27</v>
      </c>
      <c r="L130">
        <v>0</v>
      </c>
    </row>
    <row r="131" spans="1:12" x14ac:dyDescent="0.3">
      <c r="A131">
        <v>1021</v>
      </c>
      <c r="B131">
        <v>3</v>
      </c>
      <c r="C131" t="s">
        <v>216</v>
      </c>
      <c r="D131" t="s">
        <v>23</v>
      </c>
      <c r="E131">
        <v>24</v>
      </c>
      <c r="F131">
        <v>0</v>
      </c>
      <c r="G131">
        <v>0</v>
      </c>
      <c r="H131">
        <v>342441</v>
      </c>
      <c r="I131">
        <v>8.0500000000000007</v>
      </c>
      <c r="K131" t="s">
        <v>27</v>
      </c>
      <c r="L131">
        <v>0</v>
      </c>
    </row>
    <row r="132" spans="1:12" x14ac:dyDescent="0.3">
      <c r="A132">
        <v>1022</v>
      </c>
      <c r="B132">
        <v>3</v>
      </c>
      <c r="C132" t="s">
        <v>217</v>
      </c>
      <c r="D132" t="s">
        <v>23</v>
      </c>
      <c r="E132">
        <v>32</v>
      </c>
      <c r="F132">
        <v>0</v>
      </c>
      <c r="G132">
        <v>0</v>
      </c>
      <c r="H132" t="s">
        <v>218</v>
      </c>
      <c r="I132">
        <v>8.0500000000000007</v>
      </c>
      <c r="K132" t="s">
        <v>27</v>
      </c>
      <c r="L132">
        <v>0</v>
      </c>
    </row>
    <row r="133" spans="1:12" x14ac:dyDescent="0.3">
      <c r="A133">
        <v>1023</v>
      </c>
      <c r="B133">
        <v>1</v>
      </c>
      <c r="C133" t="s">
        <v>219</v>
      </c>
      <c r="D133" t="s">
        <v>23</v>
      </c>
      <c r="E133">
        <v>53</v>
      </c>
      <c r="F133">
        <v>0</v>
      </c>
      <c r="G133">
        <v>0</v>
      </c>
      <c r="H133">
        <v>113780</v>
      </c>
      <c r="I133">
        <v>28.5</v>
      </c>
      <c r="J133" t="s">
        <v>220</v>
      </c>
      <c r="K133" t="s">
        <v>35</v>
      </c>
      <c r="L133">
        <v>0</v>
      </c>
    </row>
    <row r="134" spans="1:12" x14ac:dyDescent="0.3">
      <c r="A134">
        <v>1024</v>
      </c>
      <c r="B134">
        <v>3</v>
      </c>
      <c r="C134" t="s">
        <v>221</v>
      </c>
      <c r="D134" t="s">
        <v>26</v>
      </c>
      <c r="F134">
        <v>0</v>
      </c>
      <c r="G134">
        <v>4</v>
      </c>
      <c r="H134">
        <v>4133</v>
      </c>
      <c r="I134">
        <v>25.466699999999999</v>
      </c>
      <c r="K134" t="s">
        <v>27</v>
      </c>
      <c r="L134">
        <v>0</v>
      </c>
    </row>
    <row r="135" spans="1:12" x14ac:dyDescent="0.3">
      <c r="A135">
        <v>1025</v>
      </c>
      <c r="B135">
        <v>3</v>
      </c>
      <c r="C135" t="s">
        <v>222</v>
      </c>
      <c r="D135" t="s">
        <v>23</v>
      </c>
      <c r="F135">
        <v>1</v>
      </c>
      <c r="G135">
        <v>0</v>
      </c>
      <c r="H135">
        <v>2621</v>
      </c>
      <c r="I135">
        <v>6.4375</v>
      </c>
      <c r="K135" t="s">
        <v>35</v>
      </c>
      <c r="L135">
        <v>0</v>
      </c>
    </row>
    <row r="136" spans="1:12" x14ac:dyDescent="0.3">
      <c r="A136">
        <v>1026</v>
      </c>
      <c r="B136">
        <v>3</v>
      </c>
      <c r="C136" t="s">
        <v>223</v>
      </c>
      <c r="D136" t="s">
        <v>23</v>
      </c>
      <c r="E136">
        <v>43</v>
      </c>
      <c r="F136">
        <v>0</v>
      </c>
      <c r="G136">
        <v>0</v>
      </c>
      <c r="H136">
        <v>349226</v>
      </c>
      <c r="I136">
        <v>7.8958000000000004</v>
      </c>
      <c r="K136" t="s">
        <v>27</v>
      </c>
      <c r="L136">
        <v>0</v>
      </c>
    </row>
    <row r="137" spans="1:12" x14ac:dyDescent="0.3">
      <c r="A137">
        <v>1027</v>
      </c>
      <c r="B137">
        <v>3</v>
      </c>
      <c r="C137" t="s">
        <v>224</v>
      </c>
      <c r="D137" t="s">
        <v>23</v>
      </c>
      <c r="E137">
        <v>24</v>
      </c>
      <c r="F137">
        <v>0</v>
      </c>
      <c r="G137">
        <v>0</v>
      </c>
      <c r="H137">
        <v>350409</v>
      </c>
      <c r="I137">
        <v>7.8541999999999996</v>
      </c>
      <c r="K137" t="s">
        <v>27</v>
      </c>
      <c r="L137">
        <v>0</v>
      </c>
    </row>
    <row r="138" spans="1:12" x14ac:dyDescent="0.3">
      <c r="A138">
        <v>1028</v>
      </c>
      <c r="B138">
        <v>3</v>
      </c>
      <c r="C138" t="s">
        <v>225</v>
      </c>
      <c r="D138" t="s">
        <v>23</v>
      </c>
      <c r="E138">
        <v>26.5</v>
      </c>
      <c r="F138">
        <v>0</v>
      </c>
      <c r="G138">
        <v>0</v>
      </c>
      <c r="H138">
        <v>2656</v>
      </c>
      <c r="I138">
        <v>7.2249999999999996</v>
      </c>
      <c r="K138" t="s">
        <v>35</v>
      </c>
      <c r="L138">
        <v>0</v>
      </c>
    </row>
    <row r="139" spans="1:12" x14ac:dyDescent="0.3">
      <c r="A139">
        <v>1029</v>
      </c>
      <c r="B139">
        <v>2</v>
      </c>
      <c r="C139" t="s">
        <v>226</v>
      </c>
      <c r="D139" t="s">
        <v>23</v>
      </c>
      <c r="E139">
        <v>26</v>
      </c>
      <c r="F139">
        <v>0</v>
      </c>
      <c r="G139">
        <v>0</v>
      </c>
      <c r="H139">
        <v>248659</v>
      </c>
      <c r="I139">
        <v>13</v>
      </c>
      <c r="K139" t="s">
        <v>27</v>
      </c>
      <c r="L139">
        <v>0</v>
      </c>
    </row>
    <row r="140" spans="1:12" x14ac:dyDescent="0.3">
      <c r="A140">
        <v>1030</v>
      </c>
      <c r="B140">
        <v>3</v>
      </c>
      <c r="C140" t="s">
        <v>227</v>
      </c>
      <c r="D140" t="s">
        <v>26</v>
      </c>
      <c r="E140">
        <v>23</v>
      </c>
      <c r="F140">
        <v>0</v>
      </c>
      <c r="G140">
        <v>0</v>
      </c>
      <c r="H140" t="s">
        <v>228</v>
      </c>
      <c r="I140">
        <v>8.0500000000000007</v>
      </c>
      <c r="K140" t="s">
        <v>27</v>
      </c>
      <c r="L140">
        <v>1</v>
      </c>
    </row>
    <row r="141" spans="1:12" x14ac:dyDescent="0.3">
      <c r="A141">
        <v>1031</v>
      </c>
      <c r="B141">
        <v>3</v>
      </c>
      <c r="C141" t="s">
        <v>229</v>
      </c>
      <c r="D141" t="s">
        <v>23</v>
      </c>
      <c r="E141">
        <v>40</v>
      </c>
      <c r="F141">
        <v>1</v>
      </c>
      <c r="G141">
        <v>6</v>
      </c>
      <c r="H141" t="s">
        <v>230</v>
      </c>
      <c r="I141">
        <v>46.9</v>
      </c>
      <c r="K141" t="s">
        <v>27</v>
      </c>
      <c r="L141">
        <v>0</v>
      </c>
    </row>
    <row r="142" spans="1:12" x14ac:dyDescent="0.3">
      <c r="A142">
        <v>1032</v>
      </c>
      <c r="B142">
        <v>3</v>
      </c>
      <c r="C142" t="s">
        <v>231</v>
      </c>
      <c r="D142" t="s">
        <v>26</v>
      </c>
      <c r="E142">
        <v>10</v>
      </c>
      <c r="F142">
        <v>5</v>
      </c>
      <c r="G142">
        <v>2</v>
      </c>
      <c r="H142" t="s">
        <v>230</v>
      </c>
      <c r="I142">
        <v>46.9</v>
      </c>
      <c r="K142" t="s">
        <v>27</v>
      </c>
      <c r="L142">
        <v>0</v>
      </c>
    </row>
    <row r="143" spans="1:12" x14ac:dyDescent="0.3">
      <c r="A143">
        <v>1033</v>
      </c>
      <c r="B143">
        <v>1</v>
      </c>
      <c r="C143" t="s">
        <v>232</v>
      </c>
      <c r="D143" t="s">
        <v>26</v>
      </c>
      <c r="E143">
        <v>33</v>
      </c>
      <c r="F143">
        <v>0</v>
      </c>
      <c r="G143">
        <v>0</v>
      </c>
      <c r="H143">
        <v>113781</v>
      </c>
      <c r="I143">
        <v>151.55000000000001</v>
      </c>
      <c r="K143" t="s">
        <v>27</v>
      </c>
      <c r="L143">
        <v>1</v>
      </c>
    </row>
    <row r="144" spans="1:12" x14ac:dyDescent="0.3">
      <c r="A144">
        <v>1034</v>
      </c>
      <c r="B144">
        <v>1</v>
      </c>
      <c r="C144" t="s">
        <v>233</v>
      </c>
      <c r="D144" t="s">
        <v>23</v>
      </c>
      <c r="E144">
        <v>61</v>
      </c>
      <c r="F144">
        <v>1</v>
      </c>
      <c r="G144">
        <v>3</v>
      </c>
      <c r="H144" t="s">
        <v>62</v>
      </c>
      <c r="I144">
        <v>262.375</v>
      </c>
      <c r="J144" t="s">
        <v>63</v>
      </c>
      <c r="K144" t="s">
        <v>35</v>
      </c>
      <c r="L144">
        <v>0</v>
      </c>
    </row>
    <row r="145" spans="1:12" x14ac:dyDescent="0.3">
      <c r="A145">
        <v>1035</v>
      </c>
      <c r="B145">
        <v>2</v>
      </c>
      <c r="C145" t="s">
        <v>234</v>
      </c>
      <c r="D145" t="s">
        <v>23</v>
      </c>
      <c r="E145">
        <v>28</v>
      </c>
      <c r="F145">
        <v>0</v>
      </c>
      <c r="G145">
        <v>0</v>
      </c>
      <c r="H145">
        <v>244358</v>
      </c>
      <c r="I145">
        <v>26</v>
      </c>
      <c r="K145" t="s">
        <v>27</v>
      </c>
      <c r="L145">
        <v>0</v>
      </c>
    </row>
    <row r="146" spans="1:12" x14ac:dyDescent="0.3">
      <c r="A146">
        <v>1036</v>
      </c>
      <c r="B146">
        <v>1</v>
      </c>
      <c r="C146" t="s">
        <v>235</v>
      </c>
      <c r="D146" t="s">
        <v>23</v>
      </c>
      <c r="E146">
        <v>42</v>
      </c>
      <c r="F146">
        <v>0</v>
      </c>
      <c r="G146">
        <v>0</v>
      </c>
      <c r="H146">
        <v>17475</v>
      </c>
      <c r="I146">
        <v>26.55</v>
      </c>
      <c r="K146" t="s">
        <v>27</v>
      </c>
      <c r="L146">
        <v>0</v>
      </c>
    </row>
    <row r="147" spans="1:12" x14ac:dyDescent="0.3">
      <c r="A147">
        <v>1037</v>
      </c>
      <c r="B147">
        <v>3</v>
      </c>
      <c r="C147" t="s">
        <v>236</v>
      </c>
      <c r="D147" t="s">
        <v>23</v>
      </c>
      <c r="E147">
        <v>31</v>
      </c>
      <c r="F147">
        <v>3</v>
      </c>
      <c r="G147">
        <v>0</v>
      </c>
      <c r="H147">
        <v>345763</v>
      </c>
      <c r="I147">
        <v>18</v>
      </c>
      <c r="K147" t="s">
        <v>27</v>
      </c>
      <c r="L147">
        <v>0</v>
      </c>
    </row>
    <row r="148" spans="1:12" x14ac:dyDescent="0.3">
      <c r="A148">
        <v>1038</v>
      </c>
      <c r="B148">
        <v>1</v>
      </c>
      <c r="C148" t="s">
        <v>237</v>
      </c>
      <c r="D148" t="s">
        <v>23</v>
      </c>
      <c r="F148">
        <v>0</v>
      </c>
      <c r="G148">
        <v>0</v>
      </c>
      <c r="H148">
        <v>17463</v>
      </c>
      <c r="I148">
        <v>51.862499999999997</v>
      </c>
      <c r="J148" t="s">
        <v>238</v>
      </c>
      <c r="K148" t="s">
        <v>27</v>
      </c>
      <c r="L148">
        <v>0</v>
      </c>
    </row>
    <row r="149" spans="1:12" x14ac:dyDescent="0.3">
      <c r="A149">
        <v>1039</v>
      </c>
      <c r="B149">
        <v>3</v>
      </c>
      <c r="C149" t="s">
        <v>239</v>
      </c>
      <c r="D149" t="s">
        <v>23</v>
      </c>
      <c r="E149">
        <v>22</v>
      </c>
      <c r="F149">
        <v>0</v>
      </c>
      <c r="G149">
        <v>0</v>
      </c>
      <c r="H149" t="s">
        <v>240</v>
      </c>
      <c r="I149">
        <v>8.0500000000000007</v>
      </c>
      <c r="K149" t="s">
        <v>27</v>
      </c>
      <c r="L149">
        <v>0</v>
      </c>
    </row>
    <row r="150" spans="1:12" x14ac:dyDescent="0.3">
      <c r="A150">
        <v>1040</v>
      </c>
      <c r="B150">
        <v>1</v>
      </c>
      <c r="C150" t="s">
        <v>241</v>
      </c>
      <c r="D150" t="s">
        <v>23</v>
      </c>
      <c r="F150">
        <v>0</v>
      </c>
      <c r="G150">
        <v>0</v>
      </c>
      <c r="H150">
        <v>113791</v>
      </c>
      <c r="I150">
        <v>26.55</v>
      </c>
      <c r="K150" t="s">
        <v>27</v>
      </c>
      <c r="L150">
        <v>0</v>
      </c>
    </row>
    <row r="151" spans="1:12" x14ac:dyDescent="0.3">
      <c r="A151">
        <v>1041</v>
      </c>
      <c r="B151">
        <v>2</v>
      </c>
      <c r="C151" t="s">
        <v>242</v>
      </c>
      <c r="D151" t="s">
        <v>23</v>
      </c>
      <c r="E151">
        <v>30</v>
      </c>
      <c r="F151">
        <v>1</v>
      </c>
      <c r="G151">
        <v>1</v>
      </c>
      <c r="H151">
        <v>250651</v>
      </c>
      <c r="I151">
        <v>26</v>
      </c>
      <c r="K151" t="s">
        <v>27</v>
      </c>
      <c r="L151">
        <v>0</v>
      </c>
    </row>
    <row r="152" spans="1:12" x14ac:dyDescent="0.3">
      <c r="A152">
        <v>1042</v>
      </c>
      <c r="B152">
        <v>1</v>
      </c>
      <c r="C152" t="s">
        <v>243</v>
      </c>
      <c r="D152" t="s">
        <v>26</v>
      </c>
      <c r="E152">
        <v>23</v>
      </c>
      <c r="F152">
        <v>0</v>
      </c>
      <c r="G152">
        <v>1</v>
      </c>
      <c r="H152">
        <v>11767</v>
      </c>
      <c r="I152">
        <v>83.158299999999997</v>
      </c>
      <c r="J152" t="s">
        <v>244</v>
      </c>
      <c r="K152" t="s">
        <v>35</v>
      </c>
      <c r="L152">
        <v>1</v>
      </c>
    </row>
    <row r="153" spans="1:12" x14ac:dyDescent="0.3">
      <c r="A153">
        <v>1043</v>
      </c>
      <c r="B153">
        <v>3</v>
      </c>
      <c r="C153" t="s">
        <v>245</v>
      </c>
      <c r="D153" t="s">
        <v>23</v>
      </c>
      <c r="F153">
        <v>0</v>
      </c>
      <c r="G153">
        <v>0</v>
      </c>
      <c r="H153">
        <v>349255</v>
      </c>
      <c r="I153">
        <v>7.8958000000000004</v>
      </c>
      <c r="K153" t="s">
        <v>35</v>
      </c>
      <c r="L153">
        <v>0</v>
      </c>
    </row>
    <row r="154" spans="1:12" x14ac:dyDescent="0.3">
      <c r="A154">
        <v>1044</v>
      </c>
      <c r="B154">
        <v>3</v>
      </c>
      <c r="C154" t="s">
        <v>246</v>
      </c>
      <c r="D154" t="s">
        <v>23</v>
      </c>
      <c r="E154">
        <v>60.5</v>
      </c>
      <c r="F154">
        <v>0</v>
      </c>
      <c r="G154">
        <v>0</v>
      </c>
      <c r="H154">
        <v>3701</v>
      </c>
      <c r="K154" t="s">
        <v>27</v>
      </c>
      <c r="L154">
        <v>0</v>
      </c>
    </row>
    <row r="155" spans="1:12" x14ac:dyDescent="0.3">
      <c r="A155">
        <v>1045</v>
      </c>
      <c r="B155">
        <v>3</v>
      </c>
      <c r="C155" t="s">
        <v>247</v>
      </c>
      <c r="D155" t="s">
        <v>26</v>
      </c>
      <c r="E155">
        <v>36</v>
      </c>
      <c r="F155">
        <v>0</v>
      </c>
      <c r="G155">
        <v>2</v>
      </c>
      <c r="H155">
        <v>350405</v>
      </c>
      <c r="I155">
        <v>12.183299999999999</v>
      </c>
      <c r="K155" t="s">
        <v>27</v>
      </c>
      <c r="L155">
        <v>1</v>
      </c>
    </row>
    <row r="156" spans="1:12" x14ac:dyDescent="0.3">
      <c r="A156">
        <v>1046</v>
      </c>
      <c r="B156">
        <v>3</v>
      </c>
      <c r="C156" t="s">
        <v>248</v>
      </c>
      <c r="D156" t="s">
        <v>23</v>
      </c>
      <c r="E156">
        <v>13</v>
      </c>
      <c r="F156">
        <v>4</v>
      </c>
      <c r="G156">
        <v>2</v>
      </c>
      <c r="H156">
        <v>347077</v>
      </c>
      <c r="I156">
        <v>31.387499999999999</v>
      </c>
      <c r="K156" t="s">
        <v>27</v>
      </c>
      <c r="L156">
        <v>0</v>
      </c>
    </row>
    <row r="157" spans="1:12" x14ac:dyDescent="0.3">
      <c r="A157">
        <v>1047</v>
      </c>
      <c r="B157">
        <v>3</v>
      </c>
      <c r="C157" t="s">
        <v>249</v>
      </c>
      <c r="D157" t="s">
        <v>23</v>
      </c>
      <c r="E157">
        <v>24</v>
      </c>
      <c r="F157">
        <v>0</v>
      </c>
      <c r="G157">
        <v>0</v>
      </c>
      <c r="H157" t="s">
        <v>250</v>
      </c>
      <c r="I157">
        <v>7.55</v>
      </c>
      <c r="K157" t="s">
        <v>27</v>
      </c>
      <c r="L157">
        <v>0</v>
      </c>
    </row>
    <row r="158" spans="1:12" x14ac:dyDescent="0.3">
      <c r="A158">
        <v>1048</v>
      </c>
      <c r="B158">
        <v>1</v>
      </c>
      <c r="C158" t="s">
        <v>251</v>
      </c>
      <c r="D158" t="s">
        <v>26</v>
      </c>
      <c r="E158">
        <v>29</v>
      </c>
      <c r="F158">
        <v>0</v>
      </c>
      <c r="G158">
        <v>0</v>
      </c>
      <c r="H158" t="s">
        <v>150</v>
      </c>
      <c r="I158">
        <v>221.7792</v>
      </c>
      <c r="J158" t="s">
        <v>252</v>
      </c>
      <c r="K158" t="s">
        <v>27</v>
      </c>
      <c r="L158">
        <v>1</v>
      </c>
    </row>
    <row r="159" spans="1:12" x14ac:dyDescent="0.3">
      <c r="A159">
        <v>1049</v>
      </c>
      <c r="B159">
        <v>3</v>
      </c>
      <c r="C159" t="s">
        <v>253</v>
      </c>
      <c r="D159" t="s">
        <v>26</v>
      </c>
      <c r="E159">
        <v>23</v>
      </c>
      <c r="F159">
        <v>0</v>
      </c>
      <c r="G159">
        <v>0</v>
      </c>
      <c r="H159">
        <v>347469</v>
      </c>
      <c r="I159">
        <v>7.8541999999999996</v>
      </c>
      <c r="K159" t="s">
        <v>27</v>
      </c>
      <c r="L159">
        <v>1</v>
      </c>
    </row>
    <row r="160" spans="1:12" x14ac:dyDescent="0.3">
      <c r="A160">
        <v>1050</v>
      </c>
      <c r="B160">
        <v>1</v>
      </c>
      <c r="C160" t="s">
        <v>254</v>
      </c>
      <c r="D160" t="s">
        <v>23</v>
      </c>
      <c r="E160">
        <v>42</v>
      </c>
      <c r="F160">
        <v>0</v>
      </c>
      <c r="G160">
        <v>0</v>
      </c>
      <c r="H160">
        <v>110489</v>
      </c>
      <c r="I160">
        <v>26.55</v>
      </c>
      <c r="J160" t="s">
        <v>255</v>
      </c>
      <c r="K160" t="s">
        <v>27</v>
      </c>
      <c r="L160">
        <v>0</v>
      </c>
    </row>
    <row r="161" spans="1:12" x14ac:dyDescent="0.3">
      <c r="A161">
        <v>1051</v>
      </c>
      <c r="B161">
        <v>3</v>
      </c>
      <c r="C161" t="s">
        <v>256</v>
      </c>
      <c r="D161" t="s">
        <v>26</v>
      </c>
      <c r="E161">
        <v>26</v>
      </c>
      <c r="F161">
        <v>0</v>
      </c>
      <c r="G161">
        <v>2</v>
      </c>
      <c r="H161" t="s">
        <v>257</v>
      </c>
      <c r="I161">
        <v>13.775</v>
      </c>
      <c r="K161" t="s">
        <v>27</v>
      </c>
      <c r="L161">
        <v>1</v>
      </c>
    </row>
    <row r="162" spans="1:12" x14ac:dyDescent="0.3">
      <c r="A162">
        <v>1052</v>
      </c>
      <c r="B162">
        <v>3</v>
      </c>
      <c r="C162" t="s">
        <v>258</v>
      </c>
      <c r="D162" t="s">
        <v>26</v>
      </c>
      <c r="F162">
        <v>0</v>
      </c>
      <c r="G162">
        <v>0</v>
      </c>
      <c r="H162">
        <v>335432</v>
      </c>
      <c r="I162">
        <v>7.7332999999999998</v>
      </c>
      <c r="K162" t="s">
        <v>24</v>
      </c>
      <c r="L162">
        <v>1</v>
      </c>
    </row>
    <row r="163" spans="1:12" x14ac:dyDescent="0.3">
      <c r="A163">
        <v>1053</v>
      </c>
      <c r="B163">
        <v>3</v>
      </c>
      <c r="C163" t="s">
        <v>259</v>
      </c>
      <c r="D163" t="s">
        <v>23</v>
      </c>
      <c r="E163">
        <v>7</v>
      </c>
      <c r="F163">
        <v>1</v>
      </c>
      <c r="G163">
        <v>1</v>
      </c>
      <c r="H163">
        <v>2650</v>
      </c>
      <c r="I163">
        <v>15.245799999999999</v>
      </c>
      <c r="K163" t="s">
        <v>35</v>
      </c>
      <c r="L163">
        <v>1</v>
      </c>
    </row>
    <row r="164" spans="1:12" x14ac:dyDescent="0.3">
      <c r="A164">
        <v>1054</v>
      </c>
      <c r="B164">
        <v>2</v>
      </c>
      <c r="C164" t="s">
        <v>260</v>
      </c>
      <c r="D164" t="s">
        <v>26</v>
      </c>
      <c r="E164">
        <v>26</v>
      </c>
      <c r="F164">
        <v>0</v>
      </c>
      <c r="G164">
        <v>0</v>
      </c>
      <c r="H164">
        <v>220844</v>
      </c>
      <c r="I164">
        <v>13.5</v>
      </c>
      <c r="K164" t="s">
        <v>27</v>
      </c>
      <c r="L164">
        <v>1</v>
      </c>
    </row>
    <row r="165" spans="1:12" x14ac:dyDescent="0.3">
      <c r="A165">
        <v>1055</v>
      </c>
      <c r="B165">
        <v>3</v>
      </c>
      <c r="C165" t="s">
        <v>261</v>
      </c>
      <c r="D165" t="s">
        <v>23</v>
      </c>
      <c r="F165">
        <v>0</v>
      </c>
      <c r="G165">
        <v>0</v>
      </c>
      <c r="H165">
        <v>343271</v>
      </c>
      <c r="I165">
        <v>7</v>
      </c>
      <c r="K165" t="s">
        <v>27</v>
      </c>
      <c r="L165">
        <v>0</v>
      </c>
    </row>
    <row r="166" spans="1:12" x14ac:dyDescent="0.3">
      <c r="A166">
        <v>1056</v>
      </c>
      <c r="B166">
        <v>2</v>
      </c>
      <c r="C166" t="s">
        <v>262</v>
      </c>
      <c r="D166" t="s">
        <v>23</v>
      </c>
      <c r="E166">
        <v>41</v>
      </c>
      <c r="F166">
        <v>0</v>
      </c>
      <c r="G166">
        <v>0</v>
      </c>
      <c r="H166">
        <v>237393</v>
      </c>
      <c r="I166">
        <v>13</v>
      </c>
      <c r="K166" t="s">
        <v>27</v>
      </c>
      <c r="L166">
        <v>0</v>
      </c>
    </row>
    <row r="167" spans="1:12" x14ac:dyDescent="0.3">
      <c r="A167">
        <v>1057</v>
      </c>
      <c r="B167">
        <v>3</v>
      </c>
      <c r="C167" t="s">
        <v>263</v>
      </c>
      <c r="D167" t="s">
        <v>26</v>
      </c>
      <c r="E167">
        <v>26</v>
      </c>
      <c r="F167">
        <v>1</v>
      </c>
      <c r="G167">
        <v>1</v>
      </c>
      <c r="H167">
        <v>315153</v>
      </c>
      <c r="I167">
        <v>22.024999999999999</v>
      </c>
      <c r="K167" t="s">
        <v>27</v>
      </c>
      <c r="L167">
        <v>1</v>
      </c>
    </row>
    <row r="168" spans="1:12" x14ac:dyDescent="0.3">
      <c r="A168">
        <v>1058</v>
      </c>
      <c r="B168">
        <v>1</v>
      </c>
      <c r="C168" t="s">
        <v>264</v>
      </c>
      <c r="D168" t="s">
        <v>23</v>
      </c>
      <c r="E168">
        <v>48</v>
      </c>
      <c r="F168">
        <v>0</v>
      </c>
      <c r="G168">
        <v>0</v>
      </c>
      <c r="H168" t="s">
        <v>265</v>
      </c>
      <c r="I168">
        <v>50.495800000000003</v>
      </c>
      <c r="J168" t="s">
        <v>266</v>
      </c>
      <c r="K168" t="s">
        <v>35</v>
      </c>
      <c r="L168">
        <v>0</v>
      </c>
    </row>
    <row r="169" spans="1:12" x14ac:dyDescent="0.3">
      <c r="A169">
        <v>1059</v>
      </c>
      <c r="B169">
        <v>3</v>
      </c>
      <c r="C169" t="s">
        <v>267</v>
      </c>
      <c r="D169" t="s">
        <v>23</v>
      </c>
      <c r="E169">
        <v>18</v>
      </c>
      <c r="F169">
        <v>2</v>
      </c>
      <c r="G169">
        <v>2</v>
      </c>
      <c r="H169" t="s">
        <v>268</v>
      </c>
      <c r="I169">
        <v>34.375</v>
      </c>
      <c r="K169" t="s">
        <v>27</v>
      </c>
      <c r="L169">
        <v>0</v>
      </c>
    </row>
    <row r="170" spans="1:12" x14ac:dyDescent="0.3">
      <c r="A170">
        <v>1060</v>
      </c>
      <c r="B170">
        <v>1</v>
      </c>
      <c r="C170" t="s">
        <v>269</v>
      </c>
      <c r="D170" t="s">
        <v>26</v>
      </c>
      <c r="F170">
        <v>0</v>
      </c>
      <c r="G170">
        <v>0</v>
      </c>
      <c r="H170">
        <v>17770</v>
      </c>
      <c r="I170">
        <v>27.720800000000001</v>
      </c>
      <c r="K170" t="s">
        <v>35</v>
      </c>
      <c r="L170">
        <v>1</v>
      </c>
    </row>
    <row r="171" spans="1:12" x14ac:dyDescent="0.3">
      <c r="A171">
        <v>1061</v>
      </c>
      <c r="B171">
        <v>3</v>
      </c>
      <c r="C171" t="s">
        <v>270</v>
      </c>
      <c r="D171" t="s">
        <v>26</v>
      </c>
      <c r="E171">
        <v>22</v>
      </c>
      <c r="F171">
        <v>0</v>
      </c>
      <c r="G171">
        <v>0</v>
      </c>
      <c r="H171">
        <v>7548</v>
      </c>
      <c r="I171">
        <v>8.9625000000000004</v>
      </c>
      <c r="K171" t="s">
        <v>27</v>
      </c>
      <c r="L171">
        <v>1</v>
      </c>
    </row>
    <row r="172" spans="1:12" x14ac:dyDescent="0.3">
      <c r="A172">
        <v>1062</v>
      </c>
      <c r="B172">
        <v>3</v>
      </c>
      <c r="C172" t="s">
        <v>271</v>
      </c>
      <c r="D172" t="s">
        <v>23</v>
      </c>
      <c r="F172">
        <v>0</v>
      </c>
      <c r="G172">
        <v>0</v>
      </c>
      <c r="H172" t="s">
        <v>272</v>
      </c>
      <c r="I172">
        <v>7.55</v>
      </c>
      <c r="K172" t="s">
        <v>27</v>
      </c>
      <c r="L172">
        <v>0</v>
      </c>
    </row>
    <row r="173" spans="1:12" x14ac:dyDescent="0.3">
      <c r="A173">
        <v>1063</v>
      </c>
      <c r="B173">
        <v>3</v>
      </c>
      <c r="C173" t="s">
        <v>273</v>
      </c>
      <c r="D173" t="s">
        <v>23</v>
      </c>
      <c r="E173">
        <v>27</v>
      </c>
      <c r="F173">
        <v>0</v>
      </c>
      <c r="G173">
        <v>0</v>
      </c>
      <c r="H173">
        <v>2670</v>
      </c>
      <c r="I173">
        <v>7.2249999999999996</v>
      </c>
      <c r="K173" t="s">
        <v>35</v>
      </c>
      <c r="L173">
        <v>0</v>
      </c>
    </row>
    <row r="174" spans="1:12" x14ac:dyDescent="0.3">
      <c r="A174">
        <v>1064</v>
      </c>
      <c r="B174">
        <v>3</v>
      </c>
      <c r="C174" t="s">
        <v>274</v>
      </c>
      <c r="D174" t="s">
        <v>23</v>
      </c>
      <c r="E174">
        <v>23</v>
      </c>
      <c r="F174">
        <v>1</v>
      </c>
      <c r="G174">
        <v>0</v>
      </c>
      <c r="H174">
        <v>347072</v>
      </c>
      <c r="I174">
        <v>13.9</v>
      </c>
      <c r="K174" t="s">
        <v>27</v>
      </c>
      <c r="L174">
        <v>0</v>
      </c>
    </row>
    <row r="175" spans="1:12" x14ac:dyDescent="0.3">
      <c r="A175">
        <v>1065</v>
      </c>
      <c r="B175">
        <v>3</v>
      </c>
      <c r="C175" t="s">
        <v>275</v>
      </c>
      <c r="D175" t="s">
        <v>23</v>
      </c>
      <c r="F175">
        <v>0</v>
      </c>
      <c r="G175">
        <v>0</v>
      </c>
      <c r="H175">
        <v>2673</v>
      </c>
      <c r="I175">
        <v>7.2291999999999996</v>
      </c>
      <c r="K175" t="s">
        <v>35</v>
      </c>
      <c r="L175">
        <v>0</v>
      </c>
    </row>
    <row r="176" spans="1:12" x14ac:dyDescent="0.3">
      <c r="A176">
        <v>1066</v>
      </c>
      <c r="B176">
        <v>3</v>
      </c>
      <c r="C176" t="s">
        <v>276</v>
      </c>
      <c r="D176" t="s">
        <v>23</v>
      </c>
      <c r="E176">
        <v>40</v>
      </c>
      <c r="F176">
        <v>1</v>
      </c>
      <c r="G176">
        <v>5</v>
      </c>
      <c r="H176">
        <v>347077</v>
      </c>
      <c r="I176">
        <v>31.387499999999999</v>
      </c>
      <c r="K176" t="s">
        <v>27</v>
      </c>
      <c r="L176">
        <v>0</v>
      </c>
    </row>
    <row r="177" spans="1:12" x14ac:dyDescent="0.3">
      <c r="A177">
        <v>1067</v>
      </c>
      <c r="B177">
        <v>2</v>
      </c>
      <c r="C177" t="s">
        <v>277</v>
      </c>
      <c r="D177" t="s">
        <v>26</v>
      </c>
      <c r="E177">
        <v>15</v>
      </c>
      <c r="F177">
        <v>0</v>
      </c>
      <c r="G177">
        <v>2</v>
      </c>
      <c r="H177">
        <v>29750</v>
      </c>
      <c r="I177">
        <v>39</v>
      </c>
      <c r="K177" t="s">
        <v>27</v>
      </c>
      <c r="L177">
        <v>1</v>
      </c>
    </row>
    <row r="178" spans="1:12" x14ac:dyDescent="0.3">
      <c r="A178">
        <v>1068</v>
      </c>
      <c r="B178">
        <v>2</v>
      </c>
      <c r="C178" t="s">
        <v>278</v>
      </c>
      <c r="D178" t="s">
        <v>26</v>
      </c>
      <c r="E178">
        <v>20</v>
      </c>
      <c r="F178">
        <v>0</v>
      </c>
      <c r="G178">
        <v>0</v>
      </c>
      <c r="H178" t="s">
        <v>279</v>
      </c>
      <c r="I178">
        <v>36.75</v>
      </c>
      <c r="K178" t="s">
        <v>27</v>
      </c>
      <c r="L178">
        <v>1</v>
      </c>
    </row>
    <row r="179" spans="1:12" x14ac:dyDescent="0.3">
      <c r="A179">
        <v>1069</v>
      </c>
      <c r="B179">
        <v>1</v>
      </c>
      <c r="C179" t="s">
        <v>280</v>
      </c>
      <c r="D179" t="s">
        <v>23</v>
      </c>
      <c r="E179">
        <v>54</v>
      </c>
      <c r="F179">
        <v>1</v>
      </c>
      <c r="G179">
        <v>0</v>
      </c>
      <c r="H179">
        <v>11778</v>
      </c>
      <c r="I179">
        <v>55.441699999999997</v>
      </c>
      <c r="J179" t="s">
        <v>177</v>
      </c>
      <c r="K179" t="s">
        <v>35</v>
      </c>
      <c r="L179">
        <v>0</v>
      </c>
    </row>
    <row r="180" spans="1:12" x14ac:dyDescent="0.3">
      <c r="A180">
        <v>1070</v>
      </c>
      <c r="B180">
        <v>2</v>
      </c>
      <c r="C180" t="s">
        <v>281</v>
      </c>
      <c r="D180" t="s">
        <v>26</v>
      </c>
      <c r="E180">
        <v>36</v>
      </c>
      <c r="F180">
        <v>0</v>
      </c>
      <c r="G180">
        <v>3</v>
      </c>
      <c r="H180">
        <v>230136</v>
      </c>
      <c r="I180">
        <v>39</v>
      </c>
      <c r="J180" t="s">
        <v>282</v>
      </c>
      <c r="K180" t="s">
        <v>27</v>
      </c>
      <c r="L180">
        <v>1</v>
      </c>
    </row>
    <row r="181" spans="1:12" x14ac:dyDescent="0.3">
      <c r="A181">
        <v>1071</v>
      </c>
      <c r="B181">
        <v>1</v>
      </c>
      <c r="C181" t="s">
        <v>283</v>
      </c>
      <c r="D181" t="s">
        <v>26</v>
      </c>
      <c r="E181">
        <v>64</v>
      </c>
      <c r="F181">
        <v>0</v>
      </c>
      <c r="G181">
        <v>2</v>
      </c>
      <c r="H181" t="s">
        <v>284</v>
      </c>
      <c r="I181">
        <v>83.158299999999997</v>
      </c>
      <c r="J181" t="s">
        <v>285</v>
      </c>
      <c r="K181" t="s">
        <v>35</v>
      </c>
      <c r="L181">
        <v>1</v>
      </c>
    </row>
    <row r="182" spans="1:12" x14ac:dyDescent="0.3">
      <c r="A182">
        <v>1072</v>
      </c>
      <c r="B182">
        <v>2</v>
      </c>
      <c r="C182" t="s">
        <v>286</v>
      </c>
      <c r="D182" t="s">
        <v>23</v>
      </c>
      <c r="E182">
        <v>30</v>
      </c>
      <c r="F182">
        <v>0</v>
      </c>
      <c r="G182">
        <v>0</v>
      </c>
      <c r="H182">
        <v>233478</v>
      </c>
      <c r="I182">
        <v>13</v>
      </c>
      <c r="K182" t="s">
        <v>27</v>
      </c>
      <c r="L182">
        <v>0</v>
      </c>
    </row>
    <row r="183" spans="1:12" x14ac:dyDescent="0.3">
      <c r="A183">
        <v>1073</v>
      </c>
      <c r="B183">
        <v>1</v>
      </c>
      <c r="C183" t="s">
        <v>287</v>
      </c>
      <c r="D183" t="s">
        <v>23</v>
      </c>
      <c r="E183">
        <v>37</v>
      </c>
      <c r="F183">
        <v>1</v>
      </c>
      <c r="G183">
        <v>1</v>
      </c>
      <c r="H183" t="s">
        <v>284</v>
      </c>
      <c r="I183">
        <v>83.158299999999997</v>
      </c>
      <c r="J183" t="s">
        <v>288</v>
      </c>
      <c r="K183" t="s">
        <v>35</v>
      </c>
      <c r="L183">
        <v>0</v>
      </c>
    </row>
    <row r="184" spans="1:12" x14ac:dyDescent="0.3">
      <c r="A184">
        <v>1074</v>
      </c>
      <c r="B184">
        <v>1</v>
      </c>
      <c r="C184" t="s">
        <v>289</v>
      </c>
      <c r="D184" t="s">
        <v>26</v>
      </c>
      <c r="E184">
        <v>18</v>
      </c>
      <c r="F184">
        <v>1</v>
      </c>
      <c r="G184">
        <v>0</v>
      </c>
      <c r="H184">
        <v>113773</v>
      </c>
      <c r="I184">
        <v>53.1</v>
      </c>
      <c r="J184" t="s">
        <v>290</v>
      </c>
      <c r="K184" t="s">
        <v>27</v>
      </c>
      <c r="L184">
        <v>1</v>
      </c>
    </row>
    <row r="185" spans="1:12" x14ac:dyDescent="0.3">
      <c r="A185">
        <v>1075</v>
      </c>
      <c r="B185">
        <v>3</v>
      </c>
      <c r="C185" t="s">
        <v>291</v>
      </c>
      <c r="D185" t="s">
        <v>23</v>
      </c>
      <c r="F185">
        <v>0</v>
      </c>
      <c r="G185">
        <v>0</v>
      </c>
      <c r="H185">
        <v>7935</v>
      </c>
      <c r="I185">
        <v>7.75</v>
      </c>
      <c r="K185" t="s">
        <v>24</v>
      </c>
      <c r="L185">
        <v>0</v>
      </c>
    </row>
    <row r="186" spans="1:12" x14ac:dyDescent="0.3">
      <c r="A186">
        <v>1076</v>
      </c>
      <c r="B186">
        <v>1</v>
      </c>
      <c r="C186" t="s">
        <v>292</v>
      </c>
      <c r="D186" t="s">
        <v>26</v>
      </c>
      <c r="E186">
        <v>27</v>
      </c>
      <c r="F186">
        <v>1</v>
      </c>
      <c r="G186">
        <v>1</v>
      </c>
      <c r="H186" t="s">
        <v>293</v>
      </c>
      <c r="I186">
        <v>247.52080000000001</v>
      </c>
      <c r="J186" t="s">
        <v>294</v>
      </c>
      <c r="K186" t="s">
        <v>35</v>
      </c>
      <c r="L186">
        <v>1</v>
      </c>
    </row>
    <row r="187" spans="1:12" x14ac:dyDescent="0.3">
      <c r="A187">
        <v>1077</v>
      </c>
      <c r="B187">
        <v>2</v>
      </c>
      <c r="C187" t="s">
        <v>295</v>
      </c>
      <c r="D187" t="s">
        <v>23</v>
      </c>
      <c r="E187">
        <v>40</v>
      </c>
      <c r="F187">
        <v>0</v>
      </c>
      <c r="G187">
        <v>0</v>
      </c>
      <c r="H187">
        <v>239059</v>
      </c>
      <c r="I187">
        <v>16</v>
      </c>
      <c r="K187" t="s">
        <v>27</v>
      </c>
      <c r="L187">
        <v>0</v>
      </c>
    </row>
    <row r="188" spans="1:12" x14ac:dyDescent="0.3">
      <c r="A188">
        <v>1078</v>
      </c>
      <c r="B188">
        <v>2</v>
      </c>
      <c r="C188" t="s">
        <v>296</v>
      </c>
      <c r="D188" t="s">
        <v>26</v>
      </c>
      <c r="E188">
        <v>21</v>
      </c>
      <c r="F188">
        <v>0</v>
      </c>
      <c r="G188">
        <v>1</v>
      </c>
      <c r="H188" t="s">
        <v>297</v>
      </c>
      <c r="I188">
        <v>21</v>
      </c>
      <c r="K188" t="s">
        <v>27</v>
      </c>
      <c r="L188">
        <v>1</v>
      </c>
    </row>
    <row r="189" spans="1:12" x14ac:dyDescent="0.3">
      <c r="A189">
        <v>1079</v>
      </c>
      <c r="B189">
        <v>3</v>
      </c>
      <c r="C189" t="s">
        <v>298</v>
      </c>
      <c r="D189" t="s">
        <v>23</v>
      </c>
      <c r="E189">
        <v>17</v>
      </c>
      <c r="F189">
        <v>2</v>
      </c>
      <c r="G189">
        <v>0</v>
      </c>
      <c r="H189" t="s">
        <v>299</v>
      </c>
      <c r="I189">
        <v>8.0500000000000007</v>
      </c>
      <c r="K189" t="s">
        <v>27</v>
      </c>
      <c r="L189">
        <v>0</v>
      </c>
    </row>
    <row r="190" spans="1:12" x14ac:dyDescent="0.3">
      <c r="A190">
        <v>1080</v>
      </c>
      <c r="B190">
        <v>3</v>
      </c>
      <c r="C190" t="s">
        <v>300</v>
      </c>
      <c r="D190" t="s">
        <v>26</v>
      </c>
      <c r="F190">
        <v>8</v>
      </c>
      <c r="G190">
        <v>2</v>
      </c>
      <c r="H190" t="s">
        <v>301</v>
      </c>
      <c r="I190">
        <v>69.55</v>
      </c>
      <c r="K190" t="s">
        <v>27</v>
      </c>
      <c r="L190">
        <v>0</v>
      </c>
    </row>
    <row r="191" spans="1:12" x14ac:dyDescent="0.3">
      <c r="A191">
        <v>1081</v>
      </c>
      <c r="B191">
        <v>2</v>
      </c>
      <c r="C191" t="s">
        <v>302</v>
      </c>
      <c r="D191" t="s">
        <v>23</v>
      </c>
      <c r="E191">
        <v>40</v>
      </c>
      <c r="F191">
        <v>0</v>
      </c>
      <c r="G191">
        <v>0</v>
      </c>
      <c r="H191">
        <v>28221</v>
      </c>
      <c r="I191">
        <v>13</v>
      </c>
      <c r="K191" t="s">
        <v>27</v>
      </c>
      <c r="L191">
        <v>0</v>
      </c>
    </row>
    <row r="192" spans="1:12" x14ac:dyDescent="0.3">
      <c r="A192">
        <v>1082</v>
      </c>
      <c r="B192">
        <v>2</v>
      </c>
      <c r="C192" t="s">
        <v>303</v>
      </c>
      <c r="D192" t="s">
        <v>23</v>
      </c>
      <c r="E192">
        <v>34</v>
      </c>
      <c r="F192">
        <v>1</v>
      </c>
      <c r="G192">
        <v>0</v>
      </c>
      <c r="H192">
        <v>226875</v>
      </c>
      <c r="I192">
        <v>26</v>
      </c>
      <c r="K192" t="s">
        <v>27</v>
      </c>
      <c r="L192">
        <v>0</v>
      </c>
    </row>
    <row r="193" spans="1:12" x14ac:dyDescent="0.3">
      <c r="A193">
        <v>1083</v>
      </c>
      <c r="B193">
        <v>1</v>
      </c>
      <c r="C193" t="s">
        <v>304</v>
      </c>
      <c r="D193" t="s">
        <v>23</v>
      </c>
      <c r="F193">
        <v>0</v>
      </c>
      <c r="G193">
        <v>0</v>
      </c>
      <c r="H193">
        <v>111163</v>
      </c>
      <c r="I193">
        <v>26</v>
      </c>
      <c r="K193" t="s">
        <v>27</v>
      </c>
      <c r="L193">
        <v>0</v>
      </c>
    </row>
    <row r="194" spans="1:12" x14ac:dyDescent="0.3">
      <c r="A194">
        <v>1084</v>
      </c>
      <c r="B194">
        <v>3</v>
      </c>
      <c r="C194" t="s">
        <v>305</v>
      </c>
      <c r="D194" t="s">
        <v>23</v>
      </c>
      <c r="E194">
        <v>11.5</v>
      </c>
      <c r="F194">
        <v>1</v>
      </c>
      <c r="G194">
        <v>1</v>
      </c>
      <c r="H194" t="s">
        <v>306</v>
      </c>
      <c r="I194">
        <v>14.5</v>
      </c>
      <c r="K194" t="s">
        <v>27</v>
      </c>
      <c r="L194">
        <v>1</v>
      </c>
    </row>
    <row r="195" spans="1:12" x14ac:dyDescent="0.3">
      <c r="A195">
        <v>1085</v>
      </c>
      <c r="B195">
        <v>2</v>
      </c>
      <c r="C195" t="s">
        <v>307</v>
      </c>
      <c r="D195" t="s">
        <v>23</v>
      </c>
      <c r="E195">
        <v>61</v>
      </c>
      <c r="F195">
        <v>0</v>
      </c>
      <c r="G195">
        <v>0</v>
      </c>
      <c r="H195">
        <v>235509</v>
      </c>
      <c r="I195">
        <v>12.35</v>
      </c>
      <c r="K195" t="s">
        <v>24</v>
      </c>
      <c r="L195">
        <v>0</v>
      </c>
    </row>
    <row r="196" spans="1:12" x14ac:dyDescent="0.3">
      <c r="A196">
        <v>1086</v>
      </c>
      <c r="B196">
        <v>2</v>
      </c>
      <c r="C196" t="s">
        <v>308</v>
      </c>
      <c r="D196" t="s">
        <v>23</v>
      </c>
      <c r="E196">
        <v>8</v>
      </c>
      <c r="F196">
        <v>0</v>
      </c>
      <c r="G196">
        <v>2</v>
      </c>
      <c r="H196">
        <v>28220</v>
      </c>
      <c r="I196">
        <v>32.5</v>
      </c>
      <c r="K196" t="s">
        <v>27</v>
      </c>
      <c r="L196">
        <v>1</v>
      </c>
    </row>
    <row r="197" spans="1:12" x14ac:dyDescent="0.3">
      <c r="A197">
        <v>1087</v>
      </c>
      <c r="B197">
        <v>3</v>
      </c>
      <c r="C197" t="s">
        <v>309</v>
      </c>
      <c r="D197" t="s">
        <v>23</v>
      </c>
      <c r="E197">
        <v>33</v>
      </c>
      <c r="F197">
        <v>0</v>
      </c>
      <c r="G197">
        <v>0</v>
      </c>
      <c r="H197">
        <v>347465</v>
      </c>
      <c r="I197">
        <v>7.8541999999999996</v>
      </c>
      <c r="K197" t="s">
        <v>27</v>
      </c>
      <c r="L197">
        <v>0</v>
      </c>
    </row>
    <row r="198" spans="1:12" x14ac:dyDescent="0.3">
      <c r="A198">
        <v>1088</v>
      </c>
      <c r="B198">
        <v>1</v>
      </c>
      <c r="C198" t="s">
        <v>310</v>
      </c>
      <c r="D198" t="s">
        <v>23</v>
      </c>
      <c r="E198">
        <v>6</v>
      </c>
      <c r="F198">
        <v>0</v>
      </c>
      <c r="G198">
        <v>2</v>
      </c>
      <c r="H198">
        <v>16966</v>
      </c>
      <c r="I198">
        <v>134.5</v>
      </c>
      <c r="J198" t="s">
        <v>311</v>
      </c>
      <c r="K198" t="s">
        <v>35</v>
      </c>
      <c r="L198">
        <v>1</v>
      </c>
    </row>
    <row r="199" spans="1:12" x14ac:dyDescent="0.3">
      <c r="A199">
        <v>1089</v>
      </c>
      <c r="B199">
        <v>3</v>
      </c>
      <c r="C199" t="s">
        <v>312</v>
      </c>
      <c r="D199" t="s">
        <v>26</v>
      </c>
      <c r="E199">
        <v>18</v>
      </c>
      <c r="F199">
        <v>0</v>
      </c>
      <c r="G199">
        <v>0</v>
      </c>
      <c r="H199">
        <v>347066</v>
      </c>
      <c r="I199">
        <v>7.7750000000000004</v>
      </c>
      <c r="K199" t="s">
        <v>27</v>
      </c>
      <c r="L199">
        <v>1</v>
      </c>
    </row>
    <row r="200" spans="1:12" x14ac:dyDescent="0.3">
      <c r="A200">
        <v>1090</v>
      </c>
      <c r="B200">
        <v>2</v>
      </c>
      <c r="C200" t="s">
        <v>313</v>
      </c>
      <c r="D200" t="s">
        <v>23</v>
      </c>
      <c r="E200">
        <v>23</v>
      </c>
      <c r="F200">
        <v>0</v>
      </c>
      <c r="G200">
        <v>0</v>
      </c>
      <c r="H200" t="s">
        <v>314</v>
      </c>
      <c r="I200">
        <v>10.5</v>
      </c>
      <c r="K200" t="s">
        <v>27</v>
      </c>
      <c r="L200">
        <v>0</v>
      </c>
    </row>
    <row r="201" spans="1:12" x14ac:dyDescent="0.3">
      <c r="A201">
        <v>1091</v>
      </c>
      <c r="B201">
        <v>3</v>
      </c>
      <c r="C201" t="s">
        <v>315</v>
      </c>
      <c r="D201" t="s">
        <v>26</v>
      </c>
      <c r="F201">
        <v>0</v>
      </c>
      <c r="G201">
        <v>0</v>
      </c>
      <c r="H201">
        <v>65305</v>
      </c>
      <c r="I201">
        <v>8.1125000000000007</v>
      </c>
      <c r="K201" t="s">
        <v>27</v>
      </c>
      <c r="L201">
        <v>1</v>
      </c>
    </row>
    <row r="202" spans="1:12" x14ac:dyDescent="0.3">
      <c r="A202">
        <v>1092</v>
      </c>
      <c r="B202">
        <v>3</v>
      </c>
      <c r="C202" t="s">
        <v>316</v>
      </c>
      <c r="D202" t="s">
        <v>26</v>
      </c>
      <c r="F202">
        <v>0</v>
      </c>
      <c r="G202">
        <v>0</v>
      </c>
      <c r="H202">
        <v>36568</v>
      </c>
      <c r="I202">
        <v>15.5</v>
      </c>
      <c r="K202" t="s">
        <v>24</v>
      </c>
      <c r="L202">
        <v>1</v>
      </c>
    </row>
    <row r="203" spans="1:12" x14ac:dyDescent="0.3">
      <c r="A203">
        <v>1093</v>
      </c>
      <c r="B203">
        <v>3</v>
      </c>
      <c r="C203" t="s">
        <v>317</v>
      </c>
      <c r="D203" t="s">
        <v>23</v>
      </c>
      <c r="E203">
        <v>0.33</v>
      </c>
      <c r="F203">
        <v>0</v>
      </c>
      <c r="G203">
        <v>2</v>
      </c>
      <c r="H203">
        <v>347080</v>
      </c>
      <c r="I203">
        <v>14.4</v>
      </c>
      <c r="K203" t="s">
        <v>27</v>
      </c>
      <c r="L203">
        <v>1</v>
      </c>
    </row>
    <row r="204" spans="1:12" x14ac:dyDescent="0.3">
      <c r="A204">
        <v>1094</v>
      </c>
      <c r="B204">
        <v>1</v>
      </c>
      <c r="C204" t="s">
        <v>318</v>
      </c>
      <c r="D204" t="s">
        <v>23</v>
      </c>
      <c r="E204">
        <v>47</v>
      </c>
      <c r="F204">
        <v>1</v>
      </c>
      <c r="G204">
        <v>0</v>
      </c>
      <c r="H204" t="s">
        <v>319</v>
      </c>
      <c r="I204">
        <v>227.52500000000001</v>
      </c>
      <c r="J204" t="s">
        <v>320</v>
      </c>
      <c r="K204" t="s">
        <v>35</v>
      </c>
      <c r="L204">
        <v>1</v>
      </c>
    </row>
    <row r="205" spans="1:12" x14ac:dyDescent="0.3">
      <c r="A205">
        <v>1095</v>
      </c>
      <c r="B205">
        <v>2</v>
      </c>
      <c r="C205" t="s">
        <v>321</v>
      </c>
      <c r="D205" t="s">
        <v>26</v>
      </c>
      <c r="E205">
        <v>8</v>
      </c>
      <c r="F205">
        <v>1</v>
      </c>
      <c r="G205">
        <v>1</v>
      </c>
      <c r="H205">
        <v>26360</v>
      </c>
      <c r="I205">
        <v>26</v>
      </c>
      <c r="K205" t="s">
        <v>27</v>
      </c>
      <c r="L205">
        <v>1</v>
      </c>
    </row>
    <row r="206" spans="1:12" x14ac:dyDescent="0.3">
      <c r="A206">
        <v>1096</v>
      </c>
      <c r="B206">
        <v>2</v>
      </c>
      <c r="C206" t="s">
        <v>322</v>
      </c>
      <c r="D206" t="s">
        <v>23</v>
      </c>
      <c r="E206">
        <v>25</v>
      </c>
      <c r="F206">
        <v>0</v>
      </c>
      <c r="G206">
        <v>0</v>
      </c>
      <c r="H206" t="s">
        <v>323</v>
      </c>
      <c r="I206">
        <v>10.5</v>
      </c>
      <c r="K206" t="s">
        <v>27</v>
      </c>
      <c r="L206">
        <v>0</v>
      </c>
    </row>
    <row r="207" spans="1:12" x14ac:dyDescent="0.3">
      <c r="A207">
        <v>1097</v>
      </c>
      <c r="B207">
        <v>1</v>
      </c>
      <c r="C207" t="s">
        <v>324</v>
      </c>
      <c r="D207" t="s">
        <v>23</v>
      </c>
      <c r="F207">
        <v>0</v>
      </c>
      <c r="G207">
        <v>0</v>
      </c>
      <c r="H207" t="s">
        <v>325</v>
      </c>
      <c r="I207">
        <v>25.741700000000002</v>
      </c>
      <c r="K207" t="s">
        <v>35</v>
      </c>
      <c r="L207">
        <v>0</v>
      </c>
    </row>
    <row r="208" spans="1:12" x14ac:dyDescent="0.3">
      <c r="A208">
        <v>1098</v>
      </c>
      <c r="B208">
        <v>3</v>
      </c>
      <c r="C208" t="s">
        <v>326</v>
      </c>
      <c r="D208" t="s">
        <v>26</v>
      </c>
      <c r="E208">
        <v>35</v>
      </c>
      <c r="F208">
        <v>0</v>
      </c>
      <c r="G208">
        <v>0</v>
      </c>
      <c r="H208">
        <v>9232</v>
      </c>
      <c r="I208">
        <v>7.75</v>
      </c>
      <c r="K208" t="s">
        <v>24</v>
      </c>
      <c r="L208">
        <v>1</v>
      </c>
    </row>
    <row r="209" spans="1:12" x14ac:dyDescent="0.3">
      <c r="A209">
        <v>1099</v>
      </c>
      <c r="B209">
        <v>2</v>
      </c>
      <c r="C209" t="s">
        <v>327</v>
      </c>
      <c r="D209" t="s">
        <v>23</v>
      </c>
      <c r="E209">
        <v>24</v>
      </c>
      <c r="F209">
        <v>0</v>
      </c>
      <c r="G209">
        <v>0</v>
      </c>
      <c r="H209">
        <v>28034</v>
      </c>
      <c r="I209">
        <v>10.5</v>
      </c>
      <c r="K209" t="s">
        <v>27</v>
      </c>
      <c r="L209">
        <v>0</v>
      </c>
    </row>
    <row r="210" spans="1:12" x14ac:dyDescent="0.3">
      <c r="A210">
        <v>1100</v>
      </c>
      <c r="B210">
        <v>1</v>
      </c>
      <c r="C210" t="s">
        <v>328</v>
      </c>
      <c r="D210" t="s">
        <v>26</v>
      </c>
      <c r="E210">
        <v>33</v>
      </c>
      <c r="F210">
        <v>0</v>
      </c>
      <c r="G210">
        <v>0</v>
      </c>
      <c r="H210" t="s">
        <v>329</v>
      </c>
      <c r="I210">
        <v>27.720800000000001</v>
      </c>
      <c r="J210" t="s">
        <v>330</v>
      </c>
      <c r="K210" t="s">
        <v>35</v>
      </c>
      <c r="L210">
        <v>1</v>
      </c>
    </row>
    <row r="211" spans="1:12" x14ac:dyDescent="0.3">
      <c r="A211">
        <v>1101</v>
      </c>
      <c r="B211">
        <v>3</v>
      </c>
      <c r="C211" t="s">
        <v>331</v>
      </c>
      <c r="D211" t="s">
        <v>23</v>
      </c>
      <c r="E211">
        <v>25</v>
      </c>
      <c r="F211">
        <v>0</v>
      </c>
      <c r="G211">
        <v>0</v>
      </c>
      <c r="H211">
        <v>349250</v>
      </c>
      <c r="I211">
        <v>7.8958000000000004</v>
      </c>
      <c r="K211" t="s">
        <v>27</v>
      </c>
      <c r="L211">
        <v>0</v>
      </c>
    </row>
    <row r="212" spans="1:12" x14ac:dyDescent="0.3">
      <c r="A212">
        <v>1102</v>
      </c>
      <c r="B212">
        <v>3</v>
      </c>
      <c r="C212" t="s">
        <v>332</v>
      </c>
      <c r="D212" t="s">
        <v>23</v>
      </c>
      <c r="E212">
        <v>32</v>
      </c>
      <c r="F212">
        <v>0</v>
      </c>
      <c r="G212">
        <v>0</v>
      </c>
      <c r="H212" t="s">
        <v>183</v>
      </c>
      <c r="I212">
        <v>22.524999999999999</v>
      </c>
      <c r="K212" t="s">
        <v>27</v>
      </c>
      <c r="L212">
        <v>0</v>
      </c>
    </row>
    <row r="213" spans="1:12" x14ac:dyDescent="0.3">
      <c r="A213">
        <v>1103</v>
      </c>
      <c r="B213">
        <v>3</v>
      </c>
      <c r="C213" t="s">
        <v>333</v>
      </c>
      <c r="D213" t="s">
        <v>23</v>
      </c>
      <c r="F213">
        <v>0</v>
      </c>
      <c r="G213">
        <v>0</v>
      </c>
      <c r="H213" t="s">
        <v>334</v>
      </c>
      <c r="I213">
        <v>7.05</v>
      </c>
      <c r="K213" t="s">
        <v>27</v>
      </c>
      <c r="L213">
        <v>0</v>
      </c>
    </row>
    <row r="214" spans="1:12" x14ac:dyDescent="0.3">
      <c r="A214">
        <v>1104</v>
      </c>
      <c r="B214">
        <v>2</v>
      </c>
      <c r="C214" t="s">
        <v>335</v>
      </c>
      <c r="D214" t="s">
        <v>23</v>
      </c>
      <c r="E214">
        <v>17</v>
      </c>
      <c r="F214">
        <v>0</v>
      </c>
      <c r="G214">
        <v>0</v>
      </c>
      <c r="H214" t="s">
        <v>336</v>
      </c>
      <c r="I214">
        <v>73.5</v>
      </c>
      <c r="K214" t="s">
        <v>27</v>
      </c>
      <c r="L214">
        <v>0</v>
      </c>
    </row>
    <row r="215" spans="1:12" x14ac:dyDescent="0.3">
      <c r="A215">
        <v>1105</v>
      </c>
      <c r="B215">
        <v>2</v>
      </c>
      <c r="C215" t="s">
        <v>337</v>
      </c>
      <c r="D215" t="s">
        <v>26</v>
      </c>
      <c r="E215">
        <v>60</v>
      </c>
      <c r="F215">
        <v>1</v>
      </c>
      <c r="G215">
        <v>0</v>
      </c>
      <c r="H215">
        <v>24065</v>
      </c>
      <c r="I215">
        <v>26</v>
      </c>
      <c r="K215" t="s">
        <v>27</v>
      </c>
      <c r="L215">
        <v>1</v>
      </c>
    </row>
    <row r="216" spans="1:12" x14ac:dyDescent="0.3">
      <c r="A216">
        <v>1106</v>
      </c>
      <c r="B216">
        <v>3</v>
      </c>
      <c r="C216" t="s">
        <v>338</v>
      </c>
      <c r="D216" t="s">
        <v>26</v>
      </c>
      <c r="E216">
        <v>38</v>
      </c>
      <c r="F216">
        <v>4</v>
      </c>
      <c r="G216">
        <v>2</v>
      </c>
      <c r="H216">
        <v>347091</v>
      </c>
      <c r="I216">
        <v>7.7750000000000004</v>
      </c>
      <c r="K216" t="s">
        <v>27</v>
      </c>
      <c r="L216">
        <v>0</v>
      </c>
    </row>
    <row r="217" spans="1:12" x14ac:dyDescent="0.3">
      <c r="A217">
        <v>1107</v>
      </c>
      <c r="B217">
        <v>1</v>
      </c>
      <c r="C217" t="s">
        <v>339</v>
      </c>
      <c r="D217" t="s">
        <v>23</v>
      </c>
      <c r="E217">
        <v>42</v>
      </c>
      <c r="F217">
        <v>0</v>
      </c>
      <c r="G217">
        <v>0</v>
      </c>
      <c r="H217">
        <v>113038</v>
      </c>
      <c r="I217">
        <v>42.5</v>
      </c>
      <c r="J217" t="s">
        <v>340</v>
      </c>
      <c r="K217" t="s">
        <v>27</v>
      </c>
      <c r="L217">
        <v>0</v>
      </c>
    </row>
    <row r="218" spans="1:12" x14ac:dyDescent="0.3">
      <c r="A218">
        <v>1108</v>
      </c>
      <c r="B218">
        <v>3</v>
      </c>
      <c r="C218" t="s">
        <v>341</v>
      </c>
      <c r="D218" t="s">
        <v>26</v>
      </c>
      <c r="F218">
        <v>0</v>
      </c>
      <c r="G218">
        <v>0</v>
      </c>
      <c r="H218">
        <v>330924</v>
      </c>
      <c r="I218">
        <v>7.8792</v>
      </c>
      <c r="K218" t="s">
        <v>24</v>
      </c>
      <c r="L218">
        <v>1</v>
      </c>
    </row>
    <row r="219" spans="1:12" x14ac:dyDescent="0.3">
      <c r="A219">
        <v>1109</v>
      </c>
      <c r="B219">
        <v>1</v>
      </c>
      <c r="C219" t="s">
        <v>342</v>
      </c>
      <c r="D219" t="s">
        <v>23</v>
      </c>
      <c r="E219">
        <v>57</v>
      </c>
      <c r="F219">
        <v>1</v>
      </c>
      <c r="G219">
        <v>1</v>
      </c>
      <c r="H219">
        <v>36928</v>
      </c>
      <c r="I219">
        <v>164.86670000000001</v>
      </c>
      <c r="K219" t="s">
        <v>27</v>
      </c>
      <c r="L219">
        <v>0</v>
      </c>
    </row>
    <row r="220" spans="1:12" x14ac:dyDescent="0.3">
      <c r="A220">
        <v>1110</v>
      </c>
      <c r="B220">
        <v>1</v>
      </c>
      <c r="C220" t="s">
        <v>343</v>
      </c>
      <c r="D220" t="s">
        <v>26</v>
      </c>
      <c r="E220">
        <v>50</v>
      </c>
      <c r="F220">
        <v>1</v>
      </c>
      <c r="G220">
        <v>1</v>
      </c>
      <c r="H220">
        <v>113503</v>
      </c>
      <c r="I220">
        <v>211.5</v>
      </c>
      <c r="J220" t="s">
        <v>344</v>
      </c>
      <c r="K220" t="s">
        <v>35</v>
      </c>
      <c r="L220">
        <v>1</v>
      </c>
    </row>
    <row r="221" spans="1:12" x14ac:dyDescent="0.3">
      <c r="A221">
        <v>1111</v>
      </c>
      <c r="B221">
        <v>3</v>
      </c>
      <c r="C221" t="s">
        <v>345</v>
      </c>
      <c r="D221" t="s">
        <v>23</v>
      </c>
      <c r="F221">
        <v>0</v>
      </c>
      <c r="G221">
        <v>0</v>
      </c>
      <c r="H221">
        <v>32302</v>
      </c>
      <c r="I221">
        <v>8.0500000000000007</v>
      </c>
      <c r="K221" t="s">
        <v>27</v>
      </c>
      <c r="L221">
        <v>0</v>
      </c>
    </row>
    <row r="222" spans="1:12" x14ac:dyDescent="0.3">
      <c r="A222">
        <v>1112</v>
      </c>
      <c r="B222">
        <v>2</v>
      </c>
      <c r="C222" t="s">
        <v>346</v>
      </c>
      <c r="D222" t="s">
        <v>26</v>
      </c>
      <c r="E222">
        <v>30</v>
      </c>
      <c r="F222">
        <v>1</v>
      </c>
      <c r="G222">
        <v>0</v>
      </c>
      <c r="H222" t="s">
        <v>347</v>
      </c>
      <c r="I222">
        <v>13.8583</v>
      </c>
      <c r="K222" t="s">
        <v>35</v>
      </c>
      <c r="L222">
        <v>1</v>
      </c>
    </row>
    <row r="223" spans="1:12" x14ac:dyDescent="0.3">
      <c r="A223">
        <v>1113</v>
      </c>
      <c r="B223">
        <v>3</v>
      </c>
      <c r="C223" t="s">
        <v>348</v>
      </c>
      <c r="D223" t="s">
        <v>23</v>
      </c>
      <c r="E223">
        <v>21</v>
      </c>
      <c r="F223">
        <v>0</v>
      </c>
      <c r="G223">
        <v>0</v>
      </c>
      <c r="H223">
        <v>342684</v>
      </c>
      <c r="I223">
        <v>8.0500000000000007</v>
      </c>
      <c r="K223" t="s">
        <v>27</v>
      </c>
      <c r="L223">
        <v>0</v>
      </c>
    </row>
    <row r="224" spans="1:12" x14ac:dyDescent="0.3">
      <c r="A224">
        <v>1114</v>
      </c>
      <c r="B224">
        <v>2</v>
      </c>
      <c r="C224" t="s">
        <v>349</v>
      </c>
      <c r="D224" t="s">
        <v>26</v>
      </c>
      <c r="E224">
        <v>22</v>
      </c>
      <c r="F224">
        <v>0</v>
      </c>
      <c r="G224">
        <v>0</v>
      </c>
      <c r="H224" t="s">
        <v>350</v>
      </c>
      <c r="I224">
        <v>10.5</v>
      </c>
      <c r="J224" t="s">
        <v>351</v>
      </c>
      <c r="K224" t="s">
        <v>27</v>
      </c>
      <c r="L224">
        <v>1</v>
      </c>
    </row>
    <row r="225" spans="1:12" x14ac:dyDescent="0.3">
      <c r="A225">
        <v>1115</v>
      </c>
      <c r="B225">
        <v>3</v>
      </c>
      <c r="C225" t="s">
        <v>352</v>
      </c>
      <c r="D225" t="s">
        <v>23</v>
      </c>
      <c r="E225">
        <v>21</v>
      </c>
      <c r="F225">
        <v>0</v>
      </c>
      <c r="G225">
        <v>0</v>
      </c>
      <c r="H225">
        <v>350053</v>
      </c>
      <c r="I225">
        <v>7.7957999999999998</v>
      </c>
      <c r="K225" t="s">
        <v>27</v>
      </c>
      <c r="L225">
        <v>0</v>
      </c>
    </row>
    <row r="226" spans="1:12" x14ac:dyDescent="0.3">
      <c r="A226">
        <v>1116</v>
      </c>
      <c r="B226">
        <v>1</v>
      </c>
      <c r="C226" t="s">
        <v>353</v>
      </c>
      <c r="D226" t="s">
        <v>26</v>
      </c>
      <c r="E226">
        <v>53</v>
      </c>
      <c r="F226">
        <v>0</v>
      </c>
      <c r="G226">
        <v>0</v>
      </c>
      <c r="H226" t="s">
        <v>354</v>
      </c>
      <c r="I226">
        <v>27.445799999999998</v>
      </c>
      <c r="K226" t="s">
        <v>35</v>
      </c>
      <c r="L226">
        <v>1</v>
      </c>
    </row>
    <row r="227" spans="1:12" x14ac:dyDescent="0.3">
      <c r="A227">
        <v>1117</v>
      </c>
      <c r="B227">
        <v>3</v>
      </c>
      <c r="C227" t="s">
        <v>355</v>
      </c>
      <c r="D227" t="s">
        <v>26</v>
      </c>
      <c r="F227">
        <v>0</v>
      </c>
      <c r="G227">
        <v>2</v>
      </c>
      <c r="H227">
        <v>2661</v>
      </c>
      <c r="I227">
        <v>15.245799999999999</v>
      </c>
      <c r="K227" t="s">
        <v>35</v>
      </c>
      <c r="L227">
        <v>0</v>
      </c>
    </row>
    <row r="228" spans="1:12" x14ac:dyDescent="0.3">
      <c r="A228">
        <v>1118</v>
      </c>
      <c r="B228">
        <v>3</v>
      </c>
      <c r="C228" t="s">
        <v>356</v>
      </c>
      <c r="D228" t="s">
        <v>23</v>
      </c>
      <c r="E228">
        <v>23</v>
      </c>
      <c r="F228">
        <v>0</v>
      </c>
      <c r="G228">
        <v>0</v>
      </c>
      <c r="H228">
        <v>350054</v>
      </c>
      <c r="I228">
        <v>7.7957999999999998</v>
      </c>
      <c r="K228" t="s">
        <v>27</v>
      </c>
      <c r="L228">
        <v>0</v>
      </c>
    </row>
    <row r="229" spans="1:12" x14ac:dyDescent="0.3">
      <c r="A229">
        <v>1119</v>
      </c>
      <c r="B229">
        <v>3</v>
      </c>
      <c r="C229" t="s">
        <v>357</v>
      </c>
      <c r="D229" t="s">
        <v>26</v>
      </c>
      <c r="F229">
        <v>0</v>
      </c>
      <c r="G229">
        <v>0</v>
      </c>
      <c r="H229">
        <v>370368</v>
      </c>
      <c r="I229">
        <v>7.75</v>
      </c>
      <c r="K229" t="s">
        <v>24</v>
      </c>
      <c r="L229">
        <v>1</v>
      </c>
    </row>
    <row r="230" spans="1:12" x14ac:dyDescent="0.3">
      <c r="A230">
        <v>1120</v>
      </c>
      <c r="B230">
        <v>3</v>
      </c>
      <c r="C230" t="s">
        <v>358</v>
      </c>
      <c r="D230" t="s">
        <v>23</v>
      </c>
      <c r="E230">
        <v>40.5</v>
      </c>
      <c r="F230">
        <v>0</v>
      </c>
      <c r="G230">
        <v>0</v>
      </c>
      <c r="H230" t="s">
        <v>359</v>
      </c>
      <c r="I230">
        <v>15.1</v>
      </c>
      <c r="K230" t="s">
        <v>27</v>
      </c>
      <c r="L230">
        <v>0</v>
      </c>
    </row>
    <row r="231" spans="1:12" x14ac:dyDescent="0.3">
      <c r="A231">
        <v>1121</v>
      </c>
      <c r="B231">
        <v>2</v>
      </c>
      <c r="C231" t="s">
        <v>360</v>
      </c>
      <c r="D231" t="s">
        <v>23</v>
      </c>
      <c r="E231">
        <v>36</v>
      </c>
      <c r="F231">
        <v>0</v>
      </c>
      <c r="G231">
        <v>0</v>
      </c>
      <c r="H231">
        <v>242963</v>
      </c>
      <c r="I231">
        <v>13</v>
      </c>
      <c r="K231" t="s">
        <v>27</v>
      </c>
      <c r="L231">
        <v>0</v>
      </c>
    </row>
    <row r="232" spans="1:12" x14ac:dyDescent="0.3">
      <c r="A232">
        <v>1122</v>
      </c>
      <c r="B232">
        <v>2</v>
      </c>
      <c r="C232" t="s">
        <v>361</v>
      </c>
      <c r="D232" t="s">
        <v>23</v>
      </c>
      <c r="E232">
        <v>14</v>
      </c>
      <c r="F232">
        <v>0</v>
      </c>
      <c r="G232">
        <v>0</v>
      </c>
      <c r="H232">
        <v>220845</v>
      </c>
      <c r="I232">
        <v>65</v>
      </c>
      <c r="K232" t="s">
        <v>27</v>
      </c>
      <c r="L232">
        <v>0</v>
      </c>
    </row>
    <row r="233" spans="1:12" x14ac:dyDescent="0.3">
      <c r="A233">
        <v>1123</v>
      </c>
      <c r="B233">
        <v>1</v>
      </c>
      <c r="C233" t="s">
        <v>362</v>
      </c>
      <c r="D233" t="s">
        <v>26</v>
      </c>
      <c r="E233">
        <v>21</v>
      </c>
      <c r="F233">
        <v>0</v>
      </c>
      <c r="G233">
        <v>0</v>
      </c>
      <c r="H233">
        <v>113795</v>
      </c>
      <c r="I233">
        <v>26.55</v>
      </c>
      <c r="K233" t="s">
        <v>27</v>
      </c>
      <c r="L233">
        <v>1</v>
      </c>
    </row>
    <row r="234" spans="1:12" x14ac:dyDescent="0.3">
      <c r="A234">
        <v>1124</v>
      </c>
      <c r="B234">
        <v>3</v>
      </c>
      <c r="C234" t="s">
        <v>363</v>
      </c>
      <c r="D234" t="s">
        <v>23</v>
      </c>
      <c r="E234">
        <v>21</v>
      </c>
      <c r="F234">
        <v>1</v>
      </c>
      <c r="G234">
        <v>0</v>
      </c>
      <c r="H234">
        <v>3101266</v>
      </c>
      <c r="I234">
        <v>6.4958</v>
      </c>
      <c r="K234" t="s">
        <v>27</v>
      </c>
      <c r="L234">
        <v>0</v>
      </c>
    </row>
    <row r="235" spans="1:12" x14ac:dyDescent="0.3">
      <c r="A235">
        <v>1125</v>
      </c>
      <c r="B235">
        <v>3</v>
      </c>
      <c r="C235" t="s">
        <v>364</v>
      </c>
      <c r="D235" t="s">
        <v>23</v>
      </c>
      <c r="F235">
        <v>0</v>
      </c>
      <c r="G235">
        <v>0</v>
      </c>
      <c r="H235">
        <v>330971</v>
      </c>
      <c r="I235">
        <v>7.8792</v>
      </c>
      <c r="K235" t="s">
        <v>24</v>
      </c>
      <c r="L235">
        <v>0</v>
      </c>
    </row>
    <row r="236" spans="1:12" x14ac:dyDescent="0.3">
      <c r="A236">
        <v>1126</v>
      </c>
      <c r="B236">
        <v>1</v>
      </c>
      <c r="C236" t="s">
        <v>365</v>
      </c>
      <c r="D236" t="s">
        <v>23</v>
      </c>
      <c r="E236">
        <v>39</v>
      </c>
      <c r="F236">
        <v>1</v>
      </c>
      <c r="G236">
        <v>0</v>
      </c>
      <c r="H236" t="s">
        <v>366</v>
      </c>
      <c r="I236">
        <v>71.283299999999997</v>
      </c>
      <c r="J236" t="s">
        <v>367</v>
      </c>
      <c r="K236" t="s">
        <v>35</v>
      </c>
      <c r="L236">
        <v>0</v>
      </c>
    </row>
    <row r="237" spans="1:12" x14ac:dyDescent="0.3">
      <c r="A237">
        <v>1127</v>
      </c>
      <c r="B237">
        <v>3</v>
      </c>
      <c r="C237" t="s">
        <v>368</v>
      </c>
      <c r="D237" t="s">
        <v>23</v>
      </c>
      <c r="E237">
        <v>20</v>
      </c>
      <c r="F237">
        <v>0</v>
      </c>
      <c r="G237">
        <v>0</v>
      </c>
      <c r="H237">
        <v>350416</v>
      </c>
      <c r="I237">
        <v>7.8541999999999996</v>
      </c>
      <c r="K237" t="s">
        <v>27</v>
      </c>
      <c r="L237">
        <v>0</v>
      </c>
    </row>
    <row r="238" spans="1:12" x14ac:dyDescent="0.3">
      <c r="A238">
        <v>1128</v>
      </c>
      <c r="B238">
        <v>1</v>
      </c>
      <c r="C238" t="s">
        <v>369</v>
      </c>
      <c r="D238" t="s">
        <v>23</v>
      </c>
      <c r="E238">
        <v>64</v>
      </c>
      <c r="F238">
        <v>1</v>
      </c>
      <c r="G238">
        <v>0</v>
      </c>
      <c r="H238">
        <v>110813</v>
      </c>
      <c r="I238">
        <v>75.25</v>
      </c>
      <c r="J238" t="s">
        <v>370</v>
      </c>
      <c r="K238" t="s">
        <v>35</v>
      </c>
      <c r="L238">
        <v>0</v>
      </c>
    </row>
    <row r="239" spans="1:12" x14ac:dyDescent="0.3">
      <c r="A239">
        <v>1129</v>
      </c>
      <c r="B239">
        <v>3</v>
      </c>
      <c r="C239" t="s">
        <v>371</v>
      </c>
      <c r="D239" t="s">
        <v>23</v>
      </c>
      <c r="E239">
        <v>20</v>
      </c>
      <c r="F239">
        <v>0</v>
      </c>
      <c r="G239">
        <v>0</v>
      </c>
      <c r="H239">
        <v>2679</v>
      </c>
      <c r="I239">
        <v>7.2249999999999996</v>
      </c>
      <c r="K239" t="s">
        <v>35</v>
      </c>
      <c r="L239">
        <v>0</v>
      </c>
    </row>
    <row r="240" spans="1:12" x14ac:dyDescent="0.3">
      <c r="A240">
        <v>1130</v>
      </c>
      <c r="B240">
        <v>2</v>
      </c>
      <c r="C240" t="s">
        <v>372</v>
      </c>
      <c r="D240" t="s">
        <v>26</v>
      </c>
      <c r="E240">
        <v>18</v>
      </c>
      <c r="F240">
        <v>1</v>
      </c>
      <c r="G240">
        <v>1</v>
      </c>
      <c r="H240">
        <v>250650</v>
      </c>
      <c r="I240">
        <v>13</v>
      </c>
      <c r="K240" t="s">
        <v>27</v>
      </c>
      <c r="L240">
        <v>1</v>
      </c>
    </row>
    <row r="241" spans="1:12" x14ac:dyDescent="0.3">
      <c r="A241">
        <v>1131</v>
      </c>
      <c r="B241">
        <v>1</v>
      </c>
      <c r="C241" t="s">
        <v>373</v>
      </c>
      <c r="D241" t="s">
        <v>26</v>
      </c>
      <c r="E241">
        <v>48</v>
      </c>
      <c r="F241">
        <v>1</v>
      </c>
      <c r="G241">
        <v>0</v>
      </c>
      <c r="H241" t="s">
        <v>374</v>
      </c>
      <c r="I241">
        <v>106.425</v>
      </c>
      <c r="J241" t="s">
        <v>375</v>
      </c>
      <c r="K241" t="s">
        <v>35</v>
      </c>
      <c r="L241">
        <v>1</v>
      </c>
    </row>
    <row r="242" spans="1:12" x14ac:dyDescent="0.3">
      <c r="A242">
        <v>1132</v>
      </c>
      <c r="B242">
        <v>1</v>
      </c>
      <c r="C242" t="s">
        <v>376</v>
      </c>
      <c r="D242" t="s">
        <v>26</v>
      </c>
      <c r="E242">
        <v>55</v>
      </c>
      <c r="F242">
        <v>0</v>
      </c>
      <c r="G242">
        <v>0</v>
      </c>
      <c r="H242">
        <v>112377</v>
      </c>
      <c r="I242">
        <v>27.720800000000001</v>
      </c>
      <c r="K242" t="s">
        <v>35</v>
      </c>
      <c r="L242">
        <v>1</v>
      </c>
    </row>
    <row r="243" spans="1:12" x14ac:dyDescent="0.3">
      <c r="A243">
        <v>1133</v>
      </c>
      <c r="B243">
        <v>2</v>
      </c>
      <c r="C243" t="s">
        <v>377</v>
      </c>
      <c r="D243" t="s">
        <v>26</v>
      </c>
      <c r="E243">
        <v>45</v>
      </c>
      <c r="F243">
        <v>0</v>
      </c>
      <c r="G243">
        <v>2</v>
      </c>
      <c r="H243">
        <v>237789</v>
      </c>
      <c r="I243">
        <v>30</v>
      </c>
      <c r="K243" t="s">
        <v>27</v>
      </c>
      <c r="L243">
        <v>1</v>
      </c>
    </row>
    <row r="244" spans="1:12" x14ac:dyDescent="0.3">
      <c r="A244">
        <v>1134</v>
      </c>
      <c r="B244">
        <v>1</v>
      </c>
      <c r="C244" t="s">
        <v>378</v>
      </c>
      <c r="D244" t="s">
        <v>23</v>
      </c>
      <c r="E244">
        <v>45</v>
      </c>
      <c r="F244">
        <v>1</v>
      </c>
      <c r="G244">
        <v>1</v>
      </c>
      <c r="H244">
        <v>16966</v>
      </c>
      <c r="I244">
        <v>134.5</v>
      </c>
      <c r="J244" t="s">
        <v>311</v>
      </c>
      <c r="K244" t="s">
        <v>35</v>
      </c>
      <c r="L244">
        <v>0</v>
      </c>
    </row>
    <row r="245" spans="1:12" x14ac:dyDescent="0.3">
      <c r="A245">
        <v>1135</v>
      </c>
      <c r="B245">
        <v>3</v>
      </c>
      <c r="C245" t="s">
        <v>379</v>
      </c>
      <c r="D245" t="s">
        <v>23</v>
      </c>
      <c r="F245">
        <v>0</v>
      </c>
      <c r="G245">
        <v>0</v>
      </c>
      <c r="H245">
        <v>3470</v>
      </c>
      <c r="I245">
        <v>7.8875000000000002</v>
      </c>
      <c r="K245" t="s">
        <v>27</v>
      </c>
      <c r="L245">
        <v>0</v>
      </c>
    </row>
    <row r="246" spans="1:12" x14ac:dyDescent="0.3">
      <c r="A246">
        <v>1136</v>
      </c>
      <c r="B246">
        <v>3</v>
      </c>
      <c r="C246" t="s">
        <v>380</v>
      </c>
      <c r="D246" t="s">
        <v>23</v>
      </c>
      <c r="F246">
        <v>1</v>
      </c>
      <c r="G246">
        <v>2</v>
      </c>
      <c r="H246" t="s">
        <v>79</v>
      </c>
      <c r="I246">
        <v>23.45</v>
      </c>
      <c r="K246" t="s">
        <v>27</v>
      </c>
      <c r="L246">
        <v>1</v>
      </c>
    </row>
    <row r="247" spans="1:12" x14ac:dyDescent="0.3">
      <c r="A247">
        <v>1137</v>
      </c>
      <c r="B247">
        <v>1</v>
      </c>
      <c r="C247" t="s">
        <v>381</v>
      </c>
      <c r="D247" t="s">
        <v>23</v>
      </c>
      <c r="E247">
        <v>41</v>
      </c>
      <c r="F247">
        <v>1</v>
      </c>
      <c r="G247">
        <v>0</v>
      </c>
      <c r="H247">
        <v>17464</v>
      </c>
      <c r="I247">
        <v>51.862499999999997</v>
      </c>
      <c r="J247" t="s">
        <v>382</v>
      </c>
      <c r="K247" t="s">
        <v>27</v>
      </c>
      <c r="L247">
        <v>0</v>
      </c>
    </row>
    <row r="248" spans="1:12" x14ac:dyDescent="0.3">
      <c r="A248">
        <v>1138</v>
      </c>
      <c r="B248">
        <v>2</v>
      </c>
      <c r="C248" t="s">
        <v>383</v>
      </c>
      <c r="D248" t="s">
        <v>26</v>
      </c>
      <c r="E248">
        <v>22</v>
      </c>
      <c r="F248">
        <v>0</v>
      </c>
      <c r="G248">
        <v>0</v>
      </c>
      <c r="H248" t="s">
        <v>127</v>
      </c>
      <c r="I248">
        <v>21</v>
      </c>
      <c r="K248" t="s">
        <v>27</v>
      </c>
      <c r="L248">
        <v>1</v>
      </c>
    </row>
    <row r="249" spans="1:12" x14ac:dyDescent="0.3">
      <c r="A249">
        <v>1139</v>
      </c>
      <c r="B249">
        <v>2</v>
      </c>
      <c r="C249" t="s">
        <v>384</v>
      </c>
      <c r="D249" t="s">
        <v>23</v>
      </c>
      <c r="E249">
        <v>42</v>
      </c>
      <c r="F249">
        <v>1</v>
      </c>
      <c r="G249">
        <v>1</v>
      </c>
      <c r="H249">
        <v>28220</v>
      </c>
      <c r="I249">
        <v>32.5</v>
      </c>
      <c r="K249" t="s">
        <v>27</v>
      </c>
      <c r="L249">
        <v>0</v>
      </c>
    </row>
    <row r="250" spans="1:12" x14ac:dyDescent="0.3">
      <c r="A250">
        <v>1140</v>
      </c>
      <c r="B250">
        <v>2</v>
      </c>
      <c r="C250" t="s">
        <v>385</v>
      </c>
      <c r="D250" t="s">
        <v>26</v>
      </c>
      <c r="E250">
        <v>29</v>
      </c>
      <c r="F250">
        <v>1</v>
      </c>
      <c r="G250">
        <v>0</v>
      </c>
      <c r="H250">
        <v>26707</v>
      </c>
      <c r="I250">
        <v>26</v>
      </c>
      <c r="K250" t="s">
        <v>27</v>
      </c>
      <c r="L250">
        <v>1</v>
      </c>
    </row>
    <row r="251" spans="1:12" x14ac:dyDescent="0.3">
      <c r="A251">
        <v>1141</v>
      </c>
      <c r="B251">
        <v>3</v>
      </c>
      <c r="C251" t="s">
        <v>386</v>
      </c>
      <c r="D251" t="s">
        <v>26</v>
      </c>
      <c r="F251">
        <v>1</v>
      </c>
      <c r="G251">
        <v>0</v>
      </c>
      <c r="H251">
        <v>2660</v>
      </c>
      <c r="I251">
        <v>14.4542</v>
      </c>
      <c r="K251" t="s">
        <v>35</v>
      </c>
      <c r="L251">
        <v>1</v>
      </c>
    </row>
    <row r="252" spans="1:12" x14ac:dyDescent="0.3">
      <c r="A252">
        <v>1142</v>
      </c>
      <c r="B252">
        <v>2</v>
      </c>
      <c r="C252" t="s">
        <v>387</v>
      </c>
      <c r="D252" t="s">
        <v>26</v>
      </c>
      <c r="E252">
        <v>0.92</v>
      </c>
      <c r="F252">
        <v>1</v>
      </c>
      <c r="G252">
        <v>2</v>
      </c>
      <c r="H252" t="s">
        <v>388</v>
      </c>
      <c r="I252">
        <v>27.75</v>
      </c>
      <c r="K252" t="s">
        <v>27</v>
      </c>
      <c r="L252">
        <v>1</v>
      </c>
    </row>
    <row r="253" spans="1:12" x14ac:dyDescent="0.3">
      <c r="A253">
        <v>1143</v>
      </c>
      <c r="B253">
        <v>3</v>
      </c>
      <c r="C253" t="s">
        <v>389</v>
      </c>
      <c r="D253" t="s">
        <v>23</v>
      </c>
      <c r="E253">
        <v>20</v>
      </c>
      <c r="F253">
        <v>0</v>
      </c>
      <c r="G253">
        <v>0</v>
      </c>
      <c r="H253" t="s">
        <v>390</v>
      </c>
      <c r="I253">
        <v>7.9249999999999998</v>
      </c>
      <c r="K253" t="s">
        <v>27</v>
      </c>
      <c r="L253">
        <v>0</v>
      </c>
    </row>
    <row r="254" spans="1:12" x14ac:dyDescent="0.3">
      <c r="A254">
        <v>1144</v>
      </c>
      <c r="B254">
        <v>1</v>
      </c>
      <c r="C254" t="s">
        <v>391</v>
      </c>
      <c r="D254" t="s">
        <v>23</v>
      </c>
      <c r="E254">
        <v>27</v>
      </c>
      <c r="F254">
        <v>1</v>
      </c>
      <c r="G254">
        <v>0</v>
      </c>
      <c r="H254">
        <v>13508</v>
      </c>
      <c r="I254">
        <v>136.7792</v>
      </c>
      <c r="J254" t="s">
        <v>392</v>
      </c>
      <c r="K254" t="s">
        <v>35</v>
      </c>
      <c r="L254">
        <v>0</v>
      </c>
    </row>
    <row r="255" spans="1:12" x14ac:dyDescent="0.3">
      <c r="A255">
        <v>1145</v>
      </c>
      <c r="B255">
        <v>3</v>
      </c>
      <c r="C255" t="s">
        <v>393</v>
      </c>
      <c r="D255" t="s">
        <v>23</v>
      </c>
      <c r="E255">
        <v>24</v>
      </c>
      <c r="F255">
        <v>0</v>
      </c>
      <c r="G255">
        <v>0</v>
      </c>
      <c r="H255">
        <v>7266</v>
      </c>
      <c r="I255">
        <v>9.3249999999999993</v>
      </c>
      <c r="K255" t="s">
        <v>27</v>
      </c>
      <c r="L255">
        <v>0</v>
      </c>
    </row>
    <row r="256" spans="1:12" x14ac:dyDescent="0.3">
      <c r="A256">
        <v>1146</v>
      </c>
      <c r="B256">
        <v>3</v>
      </c>
      <c r="C256" t="s">
        <v>394</v>
      </c>
      <c r="D256" t="s">
        <v>23</v>
      </c>
      <c r="E256">
        <v>32.5</v>
      </c>
      <c r="F256">
        <v>0</v>
      </c>
      <c r="G256">
        <v>0</v>
      </c>
      <c r="H256">
        <v>345775</v>
      </c>
      <c r="I256">
        <v>9.5</v>
      </c>
      <c r="K256" t="s">
        <v>27</v>
      </c>
      <c r="L256">
        <v>0</v>
      </c>
    </row>
    <row r="257" spans="1:12" x14ac:dyDescent="0.3">
      <c r="A257">
        <v>1147</v>
      </c>
      <c r="B257">
        <v>3</v>
      </c>
      <c r="C257" t="s">
        <v>395</v>
      </c>
      <c r="D257" t="s">
        <v>23</v>
      </c>
      <c r="F257">
        <v>0</v>
      </c>
      <c r="G257">
        <v>0</v>
      </c>
      <c r="H257" t="s">
        <v>396</v>
      </c>
      <c r="I257">
        <v>7.55</v>
      </c>
      <c r="K257" t="s">
        <v>27</v>
      </c>
      <c r="L257">
        <v>0</v>
      </c>
    </row>
    <row r="258" spans="1:12" x14ac:dyDescent="0.3">
      <c r="A258">
        <v>1148</v>
      </c>
      <c r="B258">
        <v>3</v>
      </c>
      <c r="C258" t="s">
        <v>397</v>
      </c>
      <c r="D258" t="s">
        <v>23</v>
      </c>
      <c r="F258">
        <v>0</v>
      </c>
      <c r="G258">
        <v>0</v>
      </c>
      <c r="H258" t="s">
        <v>398</v>
      </c>
      <c r="I258">
        <v>7.75</v>
      </c>
      <c r="K258" t="s">
        <v>24</v>
      </c>
      <c r="L258">
        <v>0</v>
      </c>
    </row>
    <row r="259" spans="1:12" x14ac:dyDescent="0.3">
      <c r="A259">
        <v>1149</v>
      </c>
      <c r="B259">
        <v>3</v>
      </c>
      <c r="C259" t="s">
        <v>399</v>
      </c>
      <c r="D259" t="s">
        <v>23</v>
      </c>
      <c r="E259">
        <v>28</v>
      </c>
      <c r="F259">
        <v>0</v>
      </c>
      <c r="G259">
        <v>0</v>
      </c>
      <c r="H259">
        <v>363611</v>
      </c>
      <c r="I259">
        <v>8.0500000000000007</v>
      </c>
      <c r="K259" t="s">
        <v>27</v>
      </c>
      <c r="L259">
        <v>0</v>
      </c>
    </row>
    <row r="260" spans="1:12" x14ac:dyDescent="0.3">
      <c r="A260">
        <v>1150</v>
      </c>
      <c r="B260">
        <v>2</v>
      </c>
      <c r="C260" t="s">
        <v>400</v>
      </c>
      <c r="D260" t="s">
        <v>26</v>
      </c>
      <c r="E260">
        <v>19</v>
      </c>
      <c r="F260">
        <v>0</v>
      </c>
      <c r="G260">
        <v>0</v>
      </c>
      <c r="H260">
        <v>28404</v>
      </c>
      <c r="I260">
        <v>13</v>
      </c>
      <c r="K260" t="s">
        <v>27</v>
      </c>
      <c r="L260">
        <v>1</v>
      </c>
    </row>
    <row r="261" spans="1:12" x14ac:dyDescent="0.3">
      <c r="A261">
        <v>1151</v>
      </c>
      <c r="B261">
        <v>3</v>
      </c>
      <c r="C261" t="s">
        <v>401</v>
      </c>
      <c r="D261" t="s">
        <v>23</v>
      </c>
      <c r="E261">
        <v>21</v>
      </c>
      <c r="F261">
        <v>0</v>
      </c>
      <c r="G261">
        <v>0</v>
      </c>
      <c r="H261">
        <v>345501</v>
      </c>
      <c r="I261">
        <v>7.7750000000000004</v>
      </c>
      <c r="K261" t="s">
        <v>27</v>
      </c>
      <c r="L261">
        <v>0</v>
      </c>
    </row>
    <row r="262" spans="1:12" x14ac:dyDescent="0.3">
      <c r="A262">
        <v>1152</v>
      </c>
      <c r="B262">
        <v>3</v>
      </c>
      <c r="C262" t="s">
        <v>402</v>
      </c>
      <c r="D262" t="s">
        <v>23</v>
      </c>
      <c r="E262">
        <v>36.5</v>
      </c>
      <c r="F262">
        <v>1</v>
      </c>
      <c r="G262">
        <v>0</v>
      </c>
      <c r="H262">
        <v>345572</v>
      </c>
      <c r="I262">
        <v>17.399999999999999</v>
      </c>
      <c r="K262" t="s">
        <v>27</v>
      </c>
      <c r="L262">
        <v>0</v>
      </c>
    </row>
    <row r="263" spans="1:12" x14ac:dyDescent="0.3">
      <c r="A263">
        <v>1153</v>
      </c>
      <c r="B263">
        <v>3</v>
      </c>
      <c r="C263" t="s">
        <v>403</v>
      </c>
      <c r="D263" t="s">
        <v>23</v>
      </c>
      <c r="E263">
        <v>21</v>
      </c>
      <c r="F263">
        <v>0</v>
      </c>
      <c r="G263">
        <v>0</v>
      </c>
      <c r="H263">
        <v>350410</v>
      </c>
      <c r="I263">
        <v>7.8541999999999996</v>
      </c>
      <c r="K263" t="s">
        <v>27</v>
      </c>
      <c r="L263">
        <v>0</v>
      </c>
    </row>
    <row r="264" spans="1:12" x14ac:dyDescent="0.3">
      <c r="A264">
        <v>1154</v>
      </c>
      <c r="B264">
        <v>2</v>
      </c>
      <c r="C264" t="s">
        <v>404</v>
      </c>
      <c r="D264" t="s">
        <v>26</v>
      </c>
      <c r="E264">
        <v>29</v>
      </c>
      <c r="F264">
        <v>0</v>
      </c>
      <c r="G264">
        <v>2</v>
      </c>
      <c r="H264">
        <v>29103</v>
      </c>
      <c r="I264">
        <v>23</v>
      </c>
      <c r="K264" t="s">
        <v>27</v>
      </c>
      <c r="L264">
        <v>1</v>
      </c>
    </row>
    <row r="265" spans="1:12" x14ac:dyDescent="0.3">
      <c r="A265">
        <v>1155</v>
      </c>
      <c r="B265">
        <v>3</v>
      </c>
      <c r="C265" t="s">
        <v>405</v>
      </c>
      <c r="D265" t="s">
        <v>26</v>
      </c>
      <c r="E265">
        <v>1</v>
      </c>
      <c r="F265">
        <v>1</v>
      </c>
      <c r="G265">
        <v>1</v>
      </c>
      <c r="H265">
        <v>350405</v>
      </c>
      <c r="I265">
        <v>12.183299999999999</v>
      </c>
      <c r="K265" t="s">
        <v>27</v>
      </c>
      <c r="L265">
        <v>1</v>
      </c>
    </row>
    <row r="266" spans="1:12" x14ac:dyDescent="0.3">
      <c r="A266">
        <v>1156</v>
      </c>
      <c r="B266">
        <v>2</v>
      </c>
      <c r="C266" t="s">
        <v>406</v>
      </c>
      <c r="D266" t="s">
        <v>23</v>
      </c>
      <c r="E266">
        <v>30</v>
      </c>
      <c r="F266">
        <v>0</v>
      </c>
      <c r="G266">
        <v>0</v>
      </c>
      <c r="H266" t="s">
        <v>407</v>
      </c>
      <c r="I266">
        <v>12.737500000000001</v>
      </c>
      <c r="K266" t="s">
        <v>35</v>
      </c>
      <c r="L266">
        <v>0</v>
      </c>
    </row>
    <row r="267" spans="1:12" x14ac:dyDescent="0.3">
      <c r="A267">
        <v>1157</v>
      </c>
      <c r="B267">
        <v>3</v>
      </c>
      <c r="C267" t="s">
        <v>408</v>
      </c>
      <c r="D267" t="s">
        <v>23</v>
      </c>
      <c r="F267">
        <v>0</v>
      </c>
      <c r="G267">
        <v>0</v>
      </c>
      <c r="H267">
        <v>349235</v>
      </c>
      <c r="I267">
        <v>7.8958000000000004</v>
      </c>
      <c r="K267" t="s">
        <v>27</v>
      </c>
      <c r="L267">
        <v>0</v>
      </c>
    </row>
    <row r="268" spans="1:12" x14ac:dyDescent="0.3">
      <c r="A268">
        <v>1158</v>
      </c>
      <c r="B268">
        <v>1</v>
      </c>
      <c r="C268" t="s">
        <v>409</v>
      </c>
      <c r="D268" t="s">
        <v>23</v>
      </c>
      <c r="F268">
        <v>0</v>
      </c>
      <c r="G268">
        <v>0</v>
      </c>
      <c r="H268">
        <v>112051</v>
      </c>
      <c r="I268">
        <v>0</v>
      </c>
      <c r="K268" t="s">
        <v>27</v>
      </c>
      <c r="L268">
        <v>0</v>
      </c>
    </row>
    <row r="269" spans="1:12" x14ac:dyDescent="0.3">
      <c r="A269">
        <v>1159</v>
      </c>
      <c r="B269">
        <v>3</v>
      </c>
      <c r="C269" t="s">
        <v>410</v>
      </c>
      <c r="D269" t="s">
        <v>23</v>
      </c>
      <c r="F269">
        <v>0</v>
      </c>
      <c r="G269">
        <v>0</v>
      </c>
      <c r="H269" t="s">
        <v>411</v>
      </c>
      <c r="I269">
        <v>7.55</v>
      </c>
      <c r="K269" t="s">
        <v>27</v>
      </c>
      <c r="L269">
        <v>0</v>
      </c>
    </row>
    <row r="270" spans="1:12" x14ac:dyDescent="0.3">
      <c r="A270">
        <v>1160</v>
      </c>
      <c r="B270">
        <v>3</v>
      </c>
      <c r="C270" t="s">
        <v>412</v>
      </c>
      <c r="D270" t="s">
        <v>26</v>
      </c>
      <c r="F270">
        <v>0</v>
      </c>
      <c r="G270">
        <v>0</v>
      </c>
      <c r="H270" t="s">
        <v>413</v>
      </c>
      <c r="I270">
        <v>8.0500000000000007</v>
      </c>
      <c r="K270" t="s">
        <v>27</v>
      </c>
      <c r="L270">
        <v>1</v>
      </c>
    </row>
    <row r="271" spans="1:12" x14ac:dyDescent="0.3">
      <c r="A271">
        <v>1161</v>
      </c>
      <c r="B271">
        <v>3</v>
      </c>
      <c r="C271" t="s">
        <v>414</v>
      </c>
      <c r="D271" t="s">
        <v>23</v>
      </c>
      <c r="E271">
        <v>17</v>
      </c>
      <c r="F271">
        <v>0</v>
      </c>
      <c r="G271">
        <v>0</v>
      </c>
      <c r="H271">
        <v>315095</v>
      </c>
      <c r="I271">
        <v>8.6624999999999996</v>
      </c>
      <c r="K271" t="s">
        <v>27</v>
      </c>
      <c r="L271">
        <v>0</v>
      </c>
    </row>
    <row r="272" spans="1:12" x14ac:dyDescent="0.3">
      <c r="A272">
        <v>1162</v>
      </c>
      <c r="B272">
        <v>1</v>
      </c>
      <c r="C272" t="s">
        <v>415</v>
      </c>
      <c r="D272" t="s">
        <v>23</v>
      </c>
      <c r="E272">
        <v>46</v>
      </c>
      <c r="F272">
        <v>0</v>
      </c>
      <c r="G272">
        <v>0</v>
      </c>
      <c r="H272">
        <v>13050</v>
      </c>
      <c r="I272">
        <v>75.241699999999994</v>
      </c>
      <c r="J272" t="s">
        <v>202</v>
      </c>
      <c r="K272" t="s">
        <v>35</v>
      </c>
      <c r="L272">
        <v>0</v>
      </c>
    </row>
    <row r="273" spans="1:12" x14ac:dyDescent="0.3">
      <c r="A273">
        <v>1163</v>
      </c>
      <c r="B273">
        <v>3</v>
      </c>
      <c r="C273" t="s">
        <v>416</v>
      </c>
      <c r="D273" t="s">
        <v>23</v>
      </c>
      <c r="F273">
        <v>0</v>
      </c>
      <c r="G273">
        <v>0</v>
      </c>
      <c r="H273">
        <v>368573</v>
      </c>
      <c r="I273">
        <v>7.75</v>
      </c>
      <c r="K273" t="s">
        <v>24</v>
      </c>
      <c r="L273">
        <v>0</v>
      </c>
    </row>
    <row r="274" spans="1:12" x14ac:dyDescent="0.3">
      <c r="A274">
        <v>1164</v>
      </c>
      <c r="B274">
        <v>1</v>
      </c>
      <c r="C274" t="s">
        <v>417</v>
      </c>
      <c r="D274" t="s">
        <v>26</v>
      </c>
      <c r="E274">
        <v>26</v>
      </c>
      <c r="F274">
        <v>1</v>
      </c>
      <c r="G274">
        <v>0</v>
      </c>
      <c r="H274">
        <v>13508</v>
      </c>
      <c r="I274">
        <v>136.7792</v>
      </c>
      <c r="J274" t="s">
        <v>392</v>
      </c>
      <c r="K274" t="s">
        <v>35</v>
      </c>
      <c r="L274">
        <v>1</v>
      </c>
    </row>
    <row r="275" spans="1:12" x14ac:dyDescent="0.3">
      <c r="A275">
        <v>1165</v>
      </c>
      <c r="B275">
        <v>3</v>
      </c>
      <c r="C275" t="s">
        <v>418</v>
      </c>
      <c r="D275" t="s">
        <v>26</v>
      </c>
      <c r="F275">
        <v>1</v>
      </c>
      <c r="G275">
        <v>0</v>
      </c>
      <c r="H275">
        <v>370371</v>
      </c>
      <c r="I275">
        <v>15.5</v>
      </c>
      <c r="K275" t="s">
        <v>24</v>
      </c>
      <c r="L275">
        <v>1</v>
      </c>
    </row>
    <row r="276" spans="1:12" x14ac:dyDescent="0.3">
      <c r="A276">
        <v>1166</v>
      </c>
      <c r="B276">
        <v>3</v>
      </c>
      <c r="C276" t="s">
        <v>419</v>
      </c>
      <c r="D276" t="s">
        <v>23</v>
      </c>
      <c r="F276">
        <v>0</v>
      </c>
      <c r="G276">
        <v>0</v>
      </c>
      <c r="H276">
        <v>2676</v>
      </c>
      <c r="I276">
        <v>7.2249999999999996</v>
      </c>
      <c r="K276" t="s">
        <v>35</v>
      </c>
      <c r="L276">
        <v>0</v>
      </c>
    </row>
    <row r="277" spans="1:12" x14ac:dyDescent="0.3">
      <c r="A277">
        <v>1167</v>
      </c>
      <c r="B277">
        <v>2</v>
      </c>
      <c r="C277" t="s">
        <v>420</v>
      </c>
      <c r="D277" t="s">
        <v>26</v>
      </c>
      <c r="E277">
        <v>20</v>
      </c>
      <c r="F277">
        <v>1</v>
      </c>
      <c r="G277">
        <v>0</v>
      </c>
      <c r="H277">
        <v>236853</v>
      </c>
      <c r="I277">
        <v>26</v>
      </c>
      <c r="K277" t="s">
        <v>27</v>
      </c>
      <c r="L277">
        <v>1</v>
      </c>
    </row>
    <row r="278" spans="1:12" x14ac:dyDescent="0.3">
      <c r="A278">
        <v>1168</v>
      </c>
      <c r="B278">
        <v>2</v>
      </c>
      <c r="C278" t="s">
        <v>421</v>
      </c>
      <c r="D278" t="s">
        <v>23</v>
      </c>
      <c r="E278">
        <v>28</v>
      </c>
      <c r="F278">
        <v>0</v>
      </c>
      <c r="G278">
        <v>0</v>
      </c>
      <c r="H278" t="s">
        <v>422</v>
      </c>
      <c r="I278">
        <v>10.5</v>
      </c>
      <c r="K278" t="s">
        <v>27</v>
      </c>
      <c r="L278">
        <v>0</v>
      </c>
    </row>
    <row r="279" spans="1:12" x14ac:dyDescent="0.3">
      <c r="A279">
        <v>1169</v>
      </c>
      <c r="B279">
        <v>2</v>
      </c>
      <c r="C279" t="s">
        <v>423</v>
      </c>
      <c r="D279" t="s">
        <v>23</v>
      </c>
      <c r="E279">
        <v>40</v>
      </c>
      <c r="F279">
        <v>1</v>
      </c>
      <c r="G279">
        <v>0</v>
      </c>
      <c r="H279">
        <v>2926</v>
      </c>
      <c r="I279">
        <v>26</v>
      </c>
      <c r="K279" t="s">
        <v>27</v>
      </c>
      <c r="L279">
        <v>0</v>
      </c>
    </row>
    <row r="280" spans="1:12" x14ac:dyDescent="0.3">
      <c r="A280">
        <v>1170</v>
      </c>
      <c r="B280">
        <v>2</v>
      </c>
      <c r="C280" t="s">
        <v>424</v>
      </c>
      <c r="D280" t="s">
        <v>23</v>
      </c>
      <c r="E280">
        <v>30</v>
      </c>
      <c r="F280">
        <v>1</v>
      </c>
      <c r="G280">
        <v>0</v>
      </c>
      <c r="H280" t="s">
        <v>425</v>
      </c>
      <c r="I280">
        <v>21</v>
      </c>
      <c r="K280" t="s">
        <v>27</v>
      </c>
      <c r="L280">
        <v>0</v>
      </c>
    </row>
    <row r="281" spans="1:12" x14ac:dyDescent="0.3">
      <c r="A281">
        <v>1171</v>
      </c>
      <c r="B281">
        <v>2</v>
      </c>
      <c r="C281" t="s">
        <v>426</v>
      </c>
      <c r="D281" t="s">
        <v>23</v>
      </c>
      <c r="E281">
        <v>22</v>
      </c>
      <c r="F281">
        <v>0</v>
      </c>
      <c r="G281">
        <v>0</v>
      </c>
      <c r="H281" t="s">
        <v>427</v>
      </c>
      <c r="I281">
        <v>10.5</v>
      </c>
      <c r="K281" t="s">
        <v>27</v>
      </c>
      <c r="L281">
        <v>0</v>
      </c>
    </row>
    <row r="282" spans="1:12" x14ac:dyDescent="0.3">
      <c r="A282">
        <v>1172</v>
      </c>
      <c r="B282">
        <v>3</v>
      </c>
      <c r="C282" t="s">
        <v>428</v>
      </c>
      <c r="D282" t="s">
        <v>26</v>
      </c>
      <c r="E282">
        <v>23</v>
      </c>
      <c r="F282">
        <v>0</v>
      </c>
      <c r="G282">
        <v>0</v>
      </c>
      <c r="H282">
        <v>315085</v>
      </c>
      <c r="I282">
        <v>8.6624999999999996</v>
      </c>
      <c r="K282" t="s">
        <v>27</v>
      </c>
      <c r="L282">
        <v>1</v>
      </c>
    </row>
    <row r="283" spans="1:12" x14ac:dyDescent="0.3">
      <c r="A283">
        <v>1173</v>
      </c>
      <c r="B283">
        <v>3</v>
      </c>
      <c r="C283" t="s">
        <v>429</v>
      </c>
      <c r="D283" t="s">
        <v>23</v>
      </c>
      <c r="E283">
        <v>0.75</v>
      </c>
      <c r="F283">
        <v>1</v>
      </c>
      <c r="G283">
        <v>1</v>
      </c>
      <c r="H283" t="s">
        <v>257</v>
      </c>
      <c r="I283">
        <v>13.775</v>
      </c>
      <c r="K283" t="s">
        <v>27</v>
      </c>
      <c r="L283">
        <v>1</v>
      </c>
    </row>
    <row r="284" spans="1:12" x14ac:dyDescent="0.3">
      <c r="A284">
        <v>1174</v>
      </c>
      <c r="B284">
        <v>3</v>
      </c>
      <c r="C284" t="s">
        <v>430</v>
      </c>
      <c r="D284" t="s">
        <v>26</v>
      </c>
      <c r="F284">
        <v>0</v>
      </c>
      <c r="G284">
        <v>0</v>
      </c>
      <c r="H284">
        <v>364859</v>
      </c>
      <c r="I284">
        <v>7.75</v>
      </c>
      <c r="K284" t="s">
        <v>24</v>
      </c>
      <c r="L284">
        <v>1</v>
      </c>
    </row>
    <row r="285" spans="1:12" x14ac:dyDescent="0.3">
      <c r="A285">
        <v>1175</v>
      </c>
      <c r="B285">
        <v>3</v>
      </c>
      <c r="C285" t="s">
        <v>431</v>
      </c>
      <c r="D285" t="s">
        <v>26</v>
      </c>
      <c r="E285">
        <v>9</v>
      </c>
      <c r="F285">
        <v>1</v>
      </c>
      <c r="G285">
        <v>1</v>
      </c>
      <c r="H285">
        <v>2650</v>
      </c>
      <c r="I285">
        <v>15.245799999999999</v>
      </c>
      <c r="K285" t="s">
        <v>35</v>
      </c>
      <c r="L285">
        <v>1</v>
      </c>
    </row>
    <row r="286" spans="1:12" x14ac:dyDescent="0.3">
      <c r="A286">
        <v>1176</v>
      </c>
      <c r="B286">
        <v>3</v>
      </c>
      <c r="C286" t="s">
        <v>432</v>
      </c>
      <c r="D286" t="s">
        <v>26</v>
      </c>
      <c r="E286">
        <v>2</v>
      </c>
      <c r="F286">
        <v>1</v>
      </c>
      <c r="G286">
        <v>1</v>
      </c>
      <c r="H286">
        <v>370129</v>
      </c>
      <c r="I286">
        <v>20.212499999999999</v>
      </c>
      <c r="K286" t="s">
        <v>27</v>
      </c>
      <c r="L286">
        <v>1</v>
      </c>
    </row>
    <row r="287" spans="1:12" x14ac:dyDescent="0.3">
      <c r="A287">
        <v>1177</v>
      </c>
      <c r="B287">
        <v>3</v>
      </c>
      <c r="C287" t="s">
        <v>433</v>
      </c>
      <c r="D287" t="s">
        <v>23</v>
      </c>
      <c r="E287">
        <v>36</v>
      </c>
      <c r="F287">
        <v>0</v>
      </c>
      <c r="G287">
        <v>0</v>
      </c>
      <c r="H287" t="s">
        <v>434</v>
      </c>
      <c r="I287">
        <v>7.25</v>
      </c>
      <c r="K287" t="s">
        <v>27</v>
      </c>
      <c r="L287">
        <v>0</v>
      </c>
    </row>
    <row r="288" spans="1:12" x14ac:dyDescent="0.3">
      <c r="A288">
        <v>1178</v>
      </c>
      <c r="B288">
        <v>3</v>
      </c>
      <c r="C288" t="s">
        <v>435</v>
      </c>
      <c r="D288" t="s">
        <v>23</v>
      </c>
      <c r="F288">
        <v>0</v>
      </c>
      <c r="G288">
        <v>0</v>
      </c>
      <c r="H288" t="s">
        <v>436</v>
      </c>
      <c r="I288">
        <v>7.25</v>
      </c>
      <c r="K288" t="s">
        <v>27</v>
      </c>
      <c r="L288">
        <v>0</v>
      </c>
    </row>
    <row r="289" spans="1:12" x14ac:dyDescent="0.3">
      <c r="A289">
        <v>1179</v>
      </c>
      <c r="B289">
        <v>1</v>
      </c>
      <c r="C289" t="s">
        <v>437</v>
      </c>
      <c r="D289" t="s">
        <v>23</v>
      </c>
      <c r="E289">
        <v>24</v>
      </c>
      <c r="F289">
        <v>1</v>
      </c>
      <c r="G289">
        <v>0</v>
      </c>
      <c r="H289">
        <v>21228</v>
      </c>
      <c r="I289">
        <v>82.2667</v>
      </c>
      <c r="J289" t="s">
        <v>41</v>
      </c>
      <c r="K289" t="s">
        <v>27</v>
      </c>
      <c r="L289">
        <v>0</v>
      </c>
    </row>
    <row r="290" spans="1:12" x14ac:dyDescent="0.3">
      <c r="A290">
        <v>1180</v>
      </c>
      <c r="B290">
        <v>3</v>
      </c>
      <c r="C290" t="s">
        <v>438</v>
      </c>
      <c r="D290" t="s">
        <v>23</v>
      </c>
      <c r="F290">
        <v>0</v>
      </c>
      <c r="G290">
        <v>0</v>
      </c>
      <c r="H290">
        <v>2655</v>
      </c>
      <c r="I290">
        <v>7.2291999999999996</v>
      </c>
      <c r="J290" t="s">
        <v>439</v>
      </c>
      <c r="K290" t="s">
        <v>35</v>
      </c>
      <c r="L290">
        <v>0</v>
      </c>
    </row>
    <row r="291" spans="1:12" x14ac:dyDescent="0.3">
      <c r="A291">
        <v>1181</v>
      </c>
      <c r="B291">
        <v>3</v>
      </c>
      <c r="C291" t="s">
        <v>440</v>
      </c>
      <c r="D291" t="s">
        <v>23</v>
      </c>
      <c r="F291">
        <v>0</v>
      </c>
      <c r="G291">
        <v>0</v>
      </c>
      <c r="H291" t="s">
        <v>441</v>
      </c>
      <c r="I291">
        <v>8.0500000000000007</v>
      </c>
      <c r="K291" t="s">
        <v>27</v>
      </c>
      <c r="L291">
        <v>0</v>
      </c>
    </row>
    <row r="292" spans="1:12" x14ac:dyDescent="0.3">
      <c r="A292">
        <v>1182</v>
      </c>
      <c r="B292">
        <v>1</v>
      </c>
      <c r="C292" t="s">
        <v>442</v>
      </c>
      <c r="D292" t="s">
        <v>23</v>
      </c>
      <c r="F292">
        <v>0</v>
      </c>
      <c r="G292">
        <v>0</v>
      </c>
      <c r="H292" t="s">
        <v>443</v>
      </c>
      <c r="I292">
        <v>39.6</v>
      </c>
      <c r="K292" t="s">
        <v>27</v>
      </c>
      <c r="L292">
        <v>0</v>
      </c>
    </row>
    <row r="293" spans="1:12" x14ac:dyDescent="0.3">
      <c r="A293">
        <v>1183</v>
      </c>
      <c r="B293">
        <v>3</v>
      </c>
      <c r="C293" t="s">
        <v>444</v>
      </c>
      <c r="D293" t="s">
        <v>26</v>
      </c>
      <c r="E293">
        <v>30</v>
      </c>
      <c r="F293">
        <v>0</v>
      </c>
      <c r="G293">
        <v>0</v>
      </c>
      <c r="H293">
        <v>382650</v>
      </c>
      <c r="I293">
        <v>6.95</v>
      </c>
      <c r="K293" t="s">
        <v>24</v>
      </c>
      <c r="L293">
        <v>1</v>
      </c>
    </row>
    <row r="294" spans="1:12" x14ac:dyDescent="0.3">
      <c r="A294">
        <v>1184</v>
      </c>
      <c r="B294">
        <v>3</v>
      </c>
      <c r="C294" t="s">
        <v>445</v>
      </c>
      <c r="D294" t="s">
        <v>23</v>
      </c>
      <c r="F294">
        <v>0</v>
      </c>
      <c r="G294">
        <v>0</v>
      </c>
      <c r="H294">
        <v>2652</v>
      </c>
      <c r="I294">
        <v>7.2291999999999996</v>
      </c>
      <c r="K294" t="s">
        <v>35</v>
      </c>
      <c r="L294">
        <v>0</v>
      </c>
    </row>
    <row r="295" spans="1:12" x14ac:dyDescent="0.3">
      <c r="A295">
        <v>1185</v>
      </c>
      <c r="B295">
        <v>1</v>
      </c>
      <c r="C295" t="s">
        <v>446</v>
      </c>
      <c r="D295" t="s">
        <v>23</v>
      </c>
      <c r="E295">
        <v>53</v>
      </c>
      <c r="F295">
        <v>1</v>
      </c>
      <c r="G295">
        <v>1</v>
      </c>
      <c r="H295">
        <v>33638</v>
      </c>
      <c r="I295">
        <v>81.8583</v>
      </c>
      <c r="J295" t="s">
        <v>447</v>
      </c>
      <c r="K295" t="s">
        <v>27</v>
      </c>
      <c r="L295">
        <v>1</v>
      </c>
    </row>
    <row r="296" spans="1:12" x14ac:dyDescent="0.3">
      <c r="A296">
        <v>1186</v>
      </c>
      <c r="B296">
        <v>3</v>
      </c>
      <c r="C296" t="s">
        <v>448</v>
      </c>
      <c r="D296" t="s">
        <v>23</v>
      </c>
      <c r="E296">
        <v>36</v>
      </c>
      <c r="F296">
        <v>0</v>
      </c>
      <c r="G296">
        <v>0</v>
      </c>
      <c r="H296">
        <v>345771</v>
      </c>
      <c r="I296">
        <v>9.5</v>
      </c>
      <c r="K296" t="s">
        <v>27</v>
      </c>
      <c r="L296">
        <v>0</v>
      </c>
    </row>
    <row r="297" spans="1:12" x14ac:dyDescent="0.3">
      <c r="A297">
        <v>1187</v>
      </c>
      <c r="B297">
        <v>3</v>
      </c>
      <c r="C297" t="s">
        <v>449</v>
      </c>
      <c r="D297" t="s">
        <v>23</v>
      </c>
      <c r="E297">
        <v>26</v>
      </c>
      <c r="F297">
        <v>0</v>
      </c>
      <c r="G297">
        <v>0</v>
      </c>
      <c r="H297">
        <v>349202</v>
      </c>
      <c r="I297">
        <v>7.8958000000000004</v>
      </c>
      <c r="K297" t="s">
        <v>27</v>
      </c>
      <c r="L297">
        <v>0</v>
      </c>
    </row>
    <row r="298" spans="1:12" x14ac:dyDescent="0.3">
      <c r="A298">
        <v>1188</v>
      </c>
      <c r="B298">
        <v>2</v>
      </c>
      <c r="C298" t="s">
        <v>450</v>
      </c>
      <c r="D298" t="s">
        <v>26</v>
      </c>
      <c r="E298">
        <v>1</v>
      </c>
      <c r="F298">
        <v>1</v>
      </c>
      <c r="G298">
        <v>2</v>
      </c>
      <c r="H298" t="s">
        <v>451</v>
      </c>
      <c r="I298">
        <v>41.5792</v>
      </c>
      <c r="K298" t="s">
        <v>35</v>
      </c>
      <c r="L298">
        <v>1</v>
      </c>
    </row>
    <row r="299" spans="1:12" x14ac:dyDescent="0.3">
      <c r="A299">
        <v>1189</v>
      </c>
      <c r="B299">
        <v>3</v>
      </c>
      <c r="C299" t="s">
        <v>452</v>
      </c>
      <c r="D299" t="s">
        <v>23</v>
      </c>
      <c r="F299">
        <v>2</v>
      </c>
      <c r="G299">
        <v>0</v>
      </c>
      <c r="H299">
        <v>2662</v>
      </c>
      <c r="I299">
        <v>21.679200000000002</v>
      </c>
      <c r="K299" t="s">
        <v>35</v>
      </c>
      <c r="L299">
        <v>0</v>
      </c>
    </row>
    <row r="300" spans="1:12" x14ac:dyDescent="0.3">
      <c r="A300">
        <v>1190</v>
      </c>
      <c r="B300">
        <v>1</v>
      </c>
      <c r="C300" t="s">
        <v>453</v>
      </c>
      <c r="D300" t="s">
        <v>23</v>
      </c>
      <c r="E300">
        <v>30</v>
      </c>
      <c r="F300">
        <v>0</v>
      </c>
      <c r="G300">
        <v>0</v>
      </c>
      <c r="H300">
        <v>113801</v>
      </c>
      <c r="I300">
        <v>45.5</v>
      </c>
      <c r="K300" t="s">
        <v>27</v>
      </c>
      <c r="L300">
        <v>0</v>
      </c>
    </row>
    <row r="301" spans="1:12" x14ac:dyDescent="0.3">
      <c r="A301">
        <v>1191</v>
      </c>
      <c r="B301">
        <v>3</v>
      </c>
      <c r="C301" t="s">
        <v>454</v>
      </c>
      <c r="D301" t="s">
        <v>23</v>
      </c>
      <c r="E301">
        <v>29</v>
      </c>
      <c r="F301">
        <v>0</v>
      </c>
      <c r="G301">
        <v>0</v>
      </c>
      <c r="H301">
        <v>347467</v>
      </c>
      <c r="I301">
        <v>7.8541999999999996</v>
      </c>
      <c r="K301" t="s">
        <v>27</v>
      </c>
      <c r="L301">
        <v>0</v>
      </c>
    </row>
    <row r="302" spans="1:12" x14ac:dyDescent="0.3">
      <c r="A302">
        <v>1192</v>
      </c>
      <c r="B302">
        <v>3</v>
      </c>
      <c r="C302" t="s">
        <v>455</v>
      </c>
      <c r="D302" t="s">
        <v>23</v>
      </c>
      <c r="E302">
        <v>32</v>
      </c>
      <c r="F302">
        <v>0</v>
      </c>
      <c r="G302">
        <v>0</v>
      </c>
      <c r="H302">
        <v>347079</v>
      </c>
      <c r="I302">
        <v>7.7750000000000004</v>
      </c>
      <c r="K302" t="s">
        <v>27</v>
      </c>
      <c r="L302">
        <v>0</v>
      </c>
    </row>
    <row r="303" spans="1:12" x14ac:dyDescent="0.3">
      <c r="A303">
        <v>1193</v>
      </c>
      <c r="B303">
        <v>2</v>
      </c>
      <c r="C303" t="s">
        <v>456</v>
      </c>
      <c r="D303" t="s">
        <v>23</v>
      </c>
      <c r="F303">
        <v>0</v>
      </c>
      <c r="G303">
        <v>0</v>
      </c>
      <c r="H303">
        <v>237735</v>
      </c>
      <c r="I303">
        <v>15.0458</v>
      </c>
      <c r="J303" t="s">
        <v>457</v>
      </c>
      <c r="K303" t="s">
        <v>35</v>
      </c>
      <c r="L303">
        <v>0</v>
      </c>
    </row>
    <row r="304" spans="1:12" x14ac:dyDescent="0.3">
      <c r="A304">
        <v>1194</v>
      </c>
      <c r="B304">
        <v>2</v>
      </c>
      <c r="C304" t="s">
        <v>458</v>
      </c>
      <c r="D304" t="s">
        <v>23</v>
      </c>
      <c r="E304">
        <v>43</v>
      </c>
      <c r="F304">
        <v>0</v>
      </c>
      <c r="G304">
        <v>1</v>
      </c>
      <c r="H304" t="s">
        <v>297</v>
      </c>
      <c r="I304">
        <v>21</v>
      </c>
      <c r="K304" t="s">
        <v>27</v>
      </c>
      <c r="L304">
        <v>0</v>
      </c>
    </row>
    <row r="305" spans="1:12" x14ac:dyDescent="0.3">
      <c r="A305">
        <v>1195</v>
      </c>
      <c r="B305">
        <v>3</v>
      </c>
      <c r="C305" t="s">
        <v>459</v>
      </c>
      <c r="D305" t="s">
        <v>23</v>
      </c>
      <c r="E305">
        <v>24</v>
      </c>
      <c r="F305">
        <v>0</v>
      </c>
      <c r="G305">
        <v>0</v>
      </c>
      <c r="H305">
        <v>315092</v>
      </c>
      <c r="I305">
        <v>8.6624999999999996</v>
      </c>
      <c r="K305" t="s">
        <v>27</v>
      </c>
      <c r="L305">
        <v>0</v>
      </c>
    </row>
    <row r="306" spans="1:12" x14ac:dyDescent="0.3">
      <c r="A306">
        <v>1196</v>
      </c>
      <c r="B306">
        <v>3</v>
      </c>
      <c r="C306" t="s">
        <v>460</v>
      </c>
      <c r="D306" t="s">
        <v>26</v>
      </c>
      <c r="F306">
        <v>0</v>
      </c>
      <c r="G306">
        <v>0</v>
      </c>
      <c r="H306">
        <v>383123</v>
      </c>
      <c r="I306">
        <v>7.75</v>
      </c>
      <c r="K306" t="s">
        <v>24</v>
      </c>
      <c r="L306">
        <v>1</v>
      </c>
    </row>
    <row r="307" spans="1:12" x14ac:dyDescent="0.3">
      <c r="A307">
        <v>1197</v>
      </c>
      <c r="B307">
        <v>1</v>
      </c>
      <c r="C307" t="s">
        <v>461</v>
      </c>
      <c r="D307" t="s">
        <v>26</v>
      </c>
      <c r="E307">
        <v>64</v>
      </c>
      <c r="F307">
        <v>1</v>
      </c>
      <c r="G307">
        <v>1</v>
      </c>
      <c r="H307">
        <v>112901</v>
      </c>
      <c r="I307">
        <v>26.55</v>
      </c>
      <c r="J307" t="s">
        <v>462</v>
      </c>
      <c r="K307" t="s">
        <v>27</v>
      </c>
      <c r="L307">
        <v>1</v>
      </c>
    </row>
    <row r="308" spans="1:12" x14ac:dyDescent="0.3">
      <c r="A308">
        <v>1198</v>
      </c>
      <c r="B308">
        <v>1</v>
      </c>
      <c r="C308" t="s">
        <v>463</v>
      </c>
      <c r="D308" t="s">
        <v>23</v>
      </c>
      <c r="E308">
        <v>30</v>
      </c>
      <c r="F308">
        <v>1</v>
      </c>
      <c r="G308">
        <v>2</v>
      </c>
      <c r="H308">
        <v>113781</v>
      </c>
      <c r="I308">
        <v>151.55000000000001</v>
      </c>
      <c r="J308" t="s">
        <v>464</v>
      </c>
      <c r="K308" t="s">
        <v>27</v>
      </c>
      <c r="L308">
        <v>0</v>
      </c>
    </row>
    <row r="309" spans="1:12" x14ac:dyDescent="0.3">
      <c r="A309">
        <v>1199</v>
      </c>
      <c r="B309">
        <v>3</v>
      </c>
      <c r="C309" t="s">
        <v>465</v>
      </c>
      <c r="D309" t="s">
        <v>23</v>
      </c>
      <c r="E309">
        <v>0.83</v>
      </c>
      <c r="F309">
        <v>0</v>
      </c>
      <c r="G309">
        <v>1</v>
      </c>
      <c r="H309">
        <v>392091</v>
      </c>
      <c r="I309">
        <v>9.35</v>
      </c>
      <c r="K309" t="s">
        <v>27</v>
      </c>
      <c r="L309">
        <v>1</v>
      </c>
    </row>
    <row r="310" spans="1:12" x14ac:dyDescent="0.3">
      <c r="A310">
        <v>1200</v>
      </c>
      <c r="B310">
        <v>1</v>
      </c>
      <c r="C310" t="s">
        <v>466</v>
      </c>
      <c r="D310" t="s">
        <v>23</v>
      </c>
      <c r="E310">
        <v>55</v>
      </c>
      <c r="F310">
        <v>1</v>
      </c>
      <c r="G310">
        <v>1</v>
      </c>
      <c r="H310">
        <v>12749</v>
      </c>
      <c r="I310">
        <v>93.5</v>
      </c>
      <c r="J310" t="s">
        <v>467</v>
      </c>
      <c r="K310" t="s">
        <v>27</v>
      </c>
      <c r="L310">
        <v>0</v>
      </c>
    </row>
    <row r="311" spans="1:12" x14ac:dyDescent="0.3">
      <c r="A311">
        <v>1201</v>
      </c>
      <c r="B311">
        <v>3</v>
      </c>
      <c r="C311" t="s">
        <v>468</v>
      </c>
      <c r="D311" t="s">
        <v>26</v>
      </c>
      <c r="E311">
        <v>45</v>
      </c>
      <c r="F311">
        <v>1</v>
      </c>
      <c r="G311">
        <v>0</v>
      </c>
      <c r="H311">
        <v>350026</v>
      </c>
      <c r="I311">
        <v>14.1083</v>
      </c>
      <c r="K311" t="s">
        <v>27</v>
      </c>
      <c r="L311">
        <v>1</v>
      </c>
    </row>
    <row r="312" spans="1:12" x14ac:dyDescent="0.3">
      <c r="A312">
        <v>1202</v>
      </c>
      <c r="B312">
        <v>3</v>
      </c>
      <c r="C312" t="s">
        <v>469</v>
      </c>
      <c r="D312" t="s">
        <v>23</v>
      </c>
      <c r="E312">
        <v>18</v>
      </c>
      <c r="F312">
        <v>0</v>
      </c>
      <c r="G312">
        <v>0</v>
      </c>
      <c r="H312">
        <v>315091</v>
      </c>
      <c r="I312">
        <v>8.6624999999999996</v>
      </c>
      <c r="K312" t="s">
        <v>27</v>
      </c>
      <c r="L312">
        <v>0</v>
      </c>
    </row>
    <row r="313" spans="1:12" x14ac:dyDescent="0.3">
      <c r="A313">
        <v>1203</v>
      </c>
      <c r="B313">
        <v>3</v>
      </c>
      <c r="C313" t="s">
        <v>470</v>
      </c>
      <c r="D313" t="s">
        <v>23</v>
      </c>
      <c r="E313">
        <v>22</v>
      </c>
      <c r="F313">
        <v>0</v>
      </c>
      <c r="G313">
        <v>0</v>
      </c>
      <c r="H313">
        <v>2658</v>
      </c>
      <c r="I313">
        <v>7.2249999999999996</v>
      </c>
      <c r="K313" t="s">
        <v>35</v>
      </c>
      <c r="L313">
        <v>0</v>
      </c>
    </row>
    <row r="314" spans="1:12" x14ac:dyDescent="0.3">
      <c r="A314">
        <v>1204</v>
      </c>
      <c r="B314">
        <v>3</v>
      </c>
      <c r="C314" t="s">
        <v>471</v>
      </c>
      <c r="D314" t="s">
        <v>23</v>
      </c>
      <c r="F314">
        <v>0</v>
      </c>
      <c r="G314">
        <v>0</v>
      </c>
      <c r="H314" t="s">
        <v>472</v>
      </c>
      <c r="I314">
        <v>7.5750000000000002</v>
      </c>
      <c r="K314" t="s">
        <v>27</v>
      </c>
      <c r="L314">
        <v>0</v>
      </c>
    </row>
    <row r="315" spans="1:12" x14ac:dyDescent="0.3">
      <c r="A315">
        <v>1205</v>
      </c>
      <c r="B315">
        <v>3</v>
      </c>
      <c r="C315" t="s">
        <v>473</v>
      </c>
      <c r="D315" t="s">
        <v>26</v>
      </c>
      <c r="E315">
        <v>37</v>
      </c>
      <c r="F315">
        <v>0</v>
      </c>
      <c r="G315">
        <v>0</v>
      </c>
      <c r="H315">
        <v>368364</v>
      </c>
      <c r="I315">
        <v>7.75</v>
      </c>
      <c r="K315" t="s">
        <v>24</v>
      </c>
      <c r="L315">
        <v>1</v>
      </c>
    </row>
    <row r="316" spans="1:12" x14ac:dyDescent="0.3">
      <c r="A316">
        <v>1206</v>
      </c>
      <c r="B316">
        <v>1</v>
      </c>
      <c r="C316" t="s">
        <v>474</v>
      </c>
      <c r="D316" t="s">
        <v>26</v>
      </c>
      <c r="E316">
        <v>55</v>
      </c>
      <c r="F316">
        <v>0</v>
      </c>
      <c r="G316">
        <v>0</v>
      </c>
      <c r="H316" t="s">
        <v>475</v>
      </c>
      <c r="I316">
        <v>135.63329999999999</v>
      </c>
      <c r="J316" t="s">
        <v>476</v>
      </c>
      <c r="K316" t="s">
        <v>35</v>
      </c>
      <c r="L316">
        <v>1</v>
      </c>
    </row>
    <row r="317" spans="1:12" x14ac:dyDescent="0.3">
      <c r="A317">
        <v>1207</v>
      </c>
      <c r="B317">
        <v>3</v>
      </c>
      <c r="C317" t="s">
        <v>477</v>
      </c>
      <c r="D317" t="s">
        <v>26</v>
      </c>
      <c r="E317">
        <v>17</v>
      </c>
      <c r="F317">
        <v>0</v>
      </c>
      <c r="G317">
        <v>0</v>
      </c>
      <c r="H317" t="s">
        <v>478</v>
      </c>
      <c r="I317">
        <v>7.7332999999999998</v>
      </c>
      <c r="K317" t="s">
        <v>24</v>
      </c>
      <c r="L317">
        <v>1</v>
      </c>
    </row>
    <row r="318" spans="1:12" x14ac:dyDescent="0.3">
      <c r="A318">
        <v>1208</v>
      </c>
      <c r="B318">
        <v>1</v>
      </c>
      <c r="C318" t="s">
        <v>479</v>
      </c>
      <c r="D318" t="s">
        <v>23</v>
      </c>
      <c r="E318">
        <v>57</v>
      </c>
      <c r="F318">
        <v>1</v>
      </c>
      <c r="G318">
        <v>0</v>
      </c>
      <c r="H318" t="s">
        <v>480</v>
      </c>
      <c r="I318">
        <v>146.52080000000001</v>
      </c>
      <c r="J318" t="s">
        <v>481</v>
      </c>
      <c r="K318" t="s">
        <v>35</v>
      </c>
      <c r="L318">
        <v>0</v>
      </c>
    </row>
    <row r="319" spans="1:12" x14ac:dyDescent="0.3">
      <c r="A319">
        <v>1209</v>
      </c>
      <c r="B319">
        <v>2</v>
      </c>
      <c r="C319" t="s">
        <v>482</v>
      </c>
      <c r="D319" t="s">
        <v>23</v>
      </c>
      <c r="E319">
        <v>19</v>
      </c>
      <c r="F319">
        <v>0</v>
      </c>
      <c r="G319">
        <v>0</v>
      </c>
      <c r="H319">
        <v>28004</v>
      </c>
      <c r="I319">
        <v>10.5</v>
      </c>
      <c r="K319" t="s">
        <v>27</v>
      </c>
      <c r="L319">
        <v>0</v>
      </c>
    </row>
    <row r="320" spans="1:12" x14ac:dyDescent="0.3">
      <c r="A320">
        <v>1210</v>
      </c>
      <c r="B320">
        <v>3</v>
      </c>
      <c r="C320" t="s">
        <v>483</v>
      </c>
      <c r="D320" t="s">
        <v>23</v>
      </c>
      <c r="E320">
        <v>27</v>
      </c>
      <c r="F320">
        <v>0</v>
      </c>
      <c r="G320">
        <v>0</v>
      </c>
      <c r="H320">
        <v>350408</v>
      </c>
      <c r="I320">
        <v>7.8541999999999996</v>
      </c>
      <c r="K320" t="s">
        <v>27</v>
      </c>
      <c r="L320">
        <v>0</v>
      </c>
    </row>
    <row r="321" spans="1:12" x14ac:dyDescent="0.3">
      <c r="A321">
        <v>1211</v>
      </c>
      <c r="B321">
        <v>2</v>
      </c>
      <c r="C321" t="s">
        <v>484</v>
      </c>
      <c r="D321" t="s">
        <v>23</v>
      </c>
      <c r="E321">
        <v>22</v>
      </c>
      <c r="F321">
        <v>2</v>
      </c>
      <c r="G321">
        <v>0</v>
      </c>
      <c r="H321" t="s">
        <v>75</v>
      </c>
      <c r="I321">
        <v>31.5</v>
      </c>
      <c r="K321" t="s">
        <v>27</v>
      </c>
      <c r="L321">
        <v>0</v>
      </c>
    </row>
    <row r="322" spans="1:12" x14ac:dyDescent="0.3">
      <c r="A322">
        <v>1212</v>
      </c>
      <c r="B322">
        <v>3</v>
      </c>
      <c r="C322" t="s">
        <v>485</v>
      </c>
      <c r="D322" t="s">
        <v>23</v>
      </c>
      <c r="E322">
        <v>26</v>
      </c>
      <c r="F322">
        <v>0</v>
      </c>
      <c r="G322">
        <v>0</v>
      </c>
      <c r="H322">
        <v>347075</v>
      </c>
      <c r="I322">
        <v>7.7750000000000004</v>
      </c>
      <c r="K322" t="s">
        <v>27</v>
      </c>
      <c r="L322">
        <v>0</v>
      </c>
    </row>
    <row r="323" spans="1:12" x14ac:dyDescent="0.3">
      <c r="A323">
        <v>1213</v>
      </c>
      <c r="B323">
        <v>3</v>
      </c>
      <c r="C323" t="s">
        <v>486</v>
      </c>
      <c r="D323" t="s">
        <v>23</v>
      </c>
      <c r="E323">
        <v>25</v>
      </c>
      <c r="F323">
        <v>0</v>
      </c>
      <c r="G323">
        <v>0</v>
      </c>
      <c r="H323">
        <v>2654</v>
      </c>
      <c r="I323">
        <v>7.2291999999999996</v>
      </c>
      <c r="J323" t="s">
        <v>487</v>
      </c>
      <c r="K323" t="s">
        <v>35</v>
      </c>
      <c r="L323">
        <v>0</v>
      </c>
    </row>
    <row r="324" spans="1:12" x14ac:dyDescent="0.3">
      <c r="A324">
        <v>1214</v>
      </c>
      <c r="B324">
        <v>2</v>
      </c>
      <c r="C324" t="s">
        <v>488</v>
      </c>
      <c r="D324" t="s">
        <v>23</v>
      </c>
      <c r="E324">
        <v>26</v>
      </c>
      <c r="F324">
        <v>0</v>
      </c>
      <c r="G324">
        <v>0</v>
      </c>
      <c r="H324">
        <v>244368</v>
      </c>
      <c r="I324">
        <v>13</v>
      </c>
      <c r="J324" t="s">
        <v>489</v>
      </c>
      <c r="K324" t="s">
        <v>27</v>
      </c>
      <c r="L324">
        <v>0</v>
      </c>
    </row>
    <row r="325" spans="1:12" x14ac:dyDescent="0.3">
      <c r="A325">
        <v>1215</v>
      </c>
      <c r="B325">
        <v>1</v>
      </c>
      <c r="C325" t="s">
        <v>490</v>
      </c>
      <c r="D325" t="s">
        <v>23</v>
      </c>
      <c r="E325">
        <v>33</v>
      </c>
      <c r="F325">
        <v>0</v>
      </c>
      <c r="G325">
        <v>0</v>
      </c>
      <c r="H325">
        <v>113790</v>
      </c>
      <c r="I325">
        <v>26.55</v>
      </c>
      <c r="K325" t="s">
        <v>27</v>
      </c>
      <c r="L325">
        <v>0</v>
      </c>
    </row>
    <row r="326" spans="1:12" x14ac:dyDescent="0.3">
      <c r="A326">
        <v>1216</v>
      </c>
      <c r="B326">
        <v>1</v>
      </c>
      <c r="C326" t="s">
        <v>491</v>
      </c>
      <c r="D326" t="s">
        <v>26</v>
      </c>
      <c r="E326">
        <v>39</v>
      </c>
      <c r="F326">
        <v>0</v>
      </c>
      <c r="G326">
        <v>0</v>
      </c>
      <c r="H326">
        <v>24160</v>
      </c>
      <c r="I326">
        <v>211.33750000000001</v>
      </c>
      <c r="K326" t="s">
        <v>27</v>
      </c>
      <c r="L326">
        <v>1</v>
      </c>
    </row>
    <row r="327" spans="1:12" x14ac:dyDescent="0.3">
      <c r="A327">
        <v>1217</v>
      </c>
      <c r="B327">
        <v>3</v>
      </c>
      <c r="C327" t="s">
        <v>492</v>
      </c>
      <c r="D327" t="s">
        <v>23</v>
      </c>
      <c r="E327">
        <v>23</v>
      </c>
      <c r="F327">
        <v>0</v>
      </c>
      <c r="G327">
        <v>0</v>
      </c>
      <c r="H327" t="s">
        <v>493</v>
      </c>
      <c r="I327">
        <v>7.05</v>
      </c>
      <c r="K327" t="s">
        <v>27</v>
      </c>
      <c r="L327">
        <v>0</v>
      </c>
    </row>
    <row r="328" spans="1:12" x14ac:dyDescent="0.3">
      <c r="A328">
        <v>1218</v>
      </c>
      <c r="B328">
        <v>2</v>
      </c>
      <c r="C328" t="s">
        <v>494</v>
      </c>
      <c r="D328" t="s">
        <v>26</v>
      </c>
      <c r="E328">
        <v>12</v>
      </c>
      <c r="F328">
        <v>2</v>
      </c>
      <c r="G328">
        <v>1</v>
      </c>
      <c r="H328">
        <v>230136</v>
      </c>
      <c r="I328">
        <v>39</v>
      </c>
      <c r="J328" t="s">
        <v>282</v>
      </c>
      <c r="K328" t="s">
        <v>27</v>
      </c>
      <c r="L328">
        <v>1</v>
      </c>
    </row>
    <row r="329" spans="1:12" x14ac:dyDescent="0.3">
      <c r="A329">
        <v>1219</v>
      </c>
      <c r="B329">
        <v>1</v>
      </c>
      <c r="C329" t="s">
        <v>495</v>
      </c>
      <c r="D329" t="s">
        <v>23</v>
      </c>
      <c r="E329">
        <v>46</v>
      </c>
      <c r="F329">
        <v>0</v>
      </c>
      <c r="G329">
        <v>0</v>
      </c>
      <c r="H329" t="s">
        <v>496</v>
      </c>
      <c r="I329">
        <v>79.2</v>
      </c>
      <c r="K329" t="s">
        <v>35</v>
      </c>
      <c r="L329">
        <v>0</v>
      </c>
    </row>
    <row r="330" spans="1:12" x14ac:dyDescent="0.3">
      <c r="A330">
        <v>1220</v>
      </c>
      <c r="B330">
        <v>2</v>
      </c>
      <c r="C330" t="s">
        <v>497</v>
      </c>
      <c r="D330" t="s">
        <v>23</v>
      </c>
      <c r="E330">
        <v>29</v>
      </c>
      <c r="F330">
        <v>1</v>
      </c>
      <c r="G330">
        <v>0</v>
      </c>
      <c r="H330">
        <v>2003</v>
      </c>
      <c r="I330">
        <v>26</v>
      </c>
      <c r="K330" t="s">
        <v>27</v>
      </c>
      <c r="L330">
        <v>0</v>
      </c>
    </row>
    <row r="331" spans="1:12" x14ac:dyDescent="0.3">
      <c r="A331">
        <v>1221</v>
      </c>
      <c r="B331">
        <v>2</v>
      </c>
      <c r="C331" t="s">
        <v>498</v>
      </c>
      <c r="D331" t="s">
        <v>23</v>
      </c>
      <c r="E331">
        <v>21</v>
      </c>
      <c r="F331">
        <v>0</v>
      </c>
      <c r="G331">
        <v>0</v>
      </c>
      <c r="H331">
        <v>236854</v>
      </c>
      <c r="I331">
        <v>13</v>
      </c>
      <c r="K331" t="s">
        <v>27</v>
      </c>
      <c r="L331">
        <v>0</v>
      </c>
    </row>
    <row r="332" spans="1:12" x14ac:dyDescent="0.3">
      <c r="A332">
        <v>1222</v>
      </c>
      <c r="B332">
        <v>2</v>
      </c>
      <c r="C332" t="s">
        <v>499</v>
      </c>
      <c r="D332" t="s">
        <v>26</v>
      </c>
      <c r="E332">
        <v>48</v>
      </c>
      <c r="F332">
        <v>0</v>
      </c>
      <c r="G332">
        <v>2</v>
      </c>
      <c r="H332" t="s">
        <v>279</v>
      </c>
      <c r="I332">
        <v>36.75</v>
      </c>
      <c r="K332" t="s">
        <v>27</v>
      </c>
      <c r="L332">
        <v>1</v>
      </c>
    </row>
    <row r="333" spans="1:12" x14ac:dyDescent="0.3">
      <c r="A333">
        <v>1223</v>
      </c>
      <c r="B333">
        <v>1</v>
      </c>
      <c r="C333" t="s">
        <v>500</v>
      </c>
      <c r="D333" t="s">
        <v>23</v>
      </c>
      <c r="E333">
        <v>39</v>
      </c>
      <c r="F333">
        <v>0</v>
      </c>
      <c r="G333">
        <v>0</v>
      </c>
      <c r="H333" t="s">
        <v>501</v>
      </c>
      <c r="I333">
        <v>29.7</v>
      </c>
      <c r="J333" t="s">
        <v>502</v>
      </c>
      <c r="K333" t="s">
        <v>35</v>
      </c>
      <c r="L333">
        <v>0</v>
      </c>
    </row>
    <row r="334" spans="1:12" x14ac:dyDescent="0.3">
      <c r="A334">
        <v>1224</v>
      </c>
      <c r="B334">
        <v>3</v>
      </c>
      <c r="C334" t="s">
        <v>503</v>
      </c>
      <c r="D334" t="s">
        <v>23</v>
      </c>
      <c r="F334">
        <v>0</v>
      </c>
      <c r="G334">
        <v>0</v>
      </c>
      <c r="H334">
        <v>2684</v>
      </c>
      <c r="I334">
        <v>7.2249999999999996</v>
      </c>
      <c r="K334" t="s">
        <v>35</v>
      </c>
      <c r="L334">
        <v>0</v>
      </c>
    </row>
    <row r="335" spans="1:12" x14ac:dyDescent="0.3">
      <c r="A335">
        <v>1225</v>
      </c>
      <c r="B335">
        <v>3</v>
      </c>
      <c r="C335" t="s">
        <v>504</v>
      </c>
      <c r="D335" t="s">
        <v>26</v>
      </c>
      <c r="E335">
        <v>19</v>
      </c>
      <c r="F335">
        <v>1</v>
      </c>
      <c r="G335">
        <v>1</v>
      </c>
      <c r="H335">
        <v>2653</v>
      </c>
      <c r="I335">
        <v>15.7417</v>
      </c>
      <c r="K335" t="s">
        <v>35</v>
      </c>
      <c r="L335">
        <v>1</v>
      </c>
    </row>
    <row r="336" spans="1:12" x14ac:dyDescent="0.3">
      <c r="A336">
        <v>1226</v>
      </c>
      <c r="B336">
        <v>3</v>
      </c>
      <c r="C336" t="s">
        <v>505</v>
      </c>
      <c r="D336" t="s">
        <v>23</v>
      </c>
      <c r="E336">
        <v>27</v>
      </c>
      <c r="F336">
        <v>0</v>
      </c>
      <c r="G336">
        <v>0</v>
      </c>
      <c r="H336">
        <v>349229</v>
      </c>
      <c r="I336">
        <v>7.8958000000000004</v>
      </c>
      <c r="K336" t="s">
        <v>27</v>
      </c>
      <c r="L336">
        <v>0</v>
      </c>
    </row>
    <row r="337" spans="1:12" x14ac:dyDescent="0.3">
      <c r="A337">
        <v>1227</v>
      </c>
      <c r="B337">
        <v>1</v>
      </c>
      <c r="C337" t="s">
        <v>506</v>
      </c>
      <c r="D337" t="s">
        <v>23</v>
      </c>
      <c r="E337">
        <v>30</v>
      </c>
      <c r="F337">
        <v>0</v>
      </c>
      <c r="G337">
        <v>0</v>
      </c>
      <c r="H337">
        <v>110469</v>
      </c>
      <c r="I337">
        <v>26</v>
      </c>
      <c r="J337" t="s">
        <v>507</v>
      </c>
      <c r="K337" t="s">
        <v>27</v>
      </c>
      <c r="L337">
        <v>0</v>
      </c>
    </row>
    <row r="338" spans="1:12" x14ac:dyDescent="0.3">
      <c r="A338">
        <v>1228</v>
      </c>
      <c r="B338">
        <v>2</v>
      </c>
      <c r="C338" t="s">
        <v>508</v>
      </c>
      <c r="D338" t="s">
        <v>23</v>
      </c>
      <c r="E338">
        <v>32</v>
      </c>
      <c r="F338">
        <v>0</v>
      </c>
      <c r="G338">
        <v>0</v>
      </c>
      <c r="H338">
        <v>244360</v>
      </c>
      <c r="I338">
        <v>13</v>
      </c>
      <c r="K338" t="s">
        <v>27</v>
      </c>
      <c r="L338">
        <v>0</v>
      </c>
    </row>
    <row r="339" spans="1:12" x14ac:dyDescent="0.3">
      <c r="A339">
        <v>1229</v>
      </c>
      <c r="B339">
        <v>3</v>
      </c>
      <c r="C339" t="s">
        <v>509</v>
      </c>
      <c r="D339" t="s">
        <v>23</v>
      </c>
      <c r="E339">
        <v>39</v>
      </c>
      <c r="F339">
        <v>0</v>
      </c>
      <c r="G339">
        <v>2</v>
      </c>
      <c r="H339">
        <v>2675</v>
      </c>
      <c r="I339">
        <v>7.2291999999999996</v>
      </c>
      <c r="K339" t="s">
        <v>35</v>
      </c>
      <c r="L339">
        <v>0</v>
      </c>
    </row>
    <row r="340" spans="1:12" x14ac:dyDescent="0.3">
      <c r="A340">
        <v>1230</v>
      </c>
      <c r="B340">
        <v>2</v>
      </c>
      <c r="C340" t="s">
        <v>510</v>
      </c>
      <c r="D340" t="s">
        <v>23</v>
      </c>
      <c r="E340">
        <v>25</v>
      </c>
      <c r="F340">
        <v>0</v>
      </c>
      <c r="G340">
        <v>0</v>
      </c>
      <c r="H340" t="s">
        <v>75</v>
      </c>
      <c r="I340">
        <v>31.5</v>
      </c>
      <c r="K340" t="s">
        <v>27</v>
      </c>
      <c r="L340">
        <v>0</v>
      </c>
    </row>
    <row r="341" spans="1:12" x14ac:dyDescent="0.3">
      <c r="A341">
        <v>1231</v>
      </c>
      <c r="B341">
        <v>3</v>
      </c>
      <c r="C341" t="s">
        <v>511</v>
      </c>
      <c r="D341" t="s">
        <v>23</v>
      </c>
      <c r="F341">
        <v>0</v>
      </c>
      <c r="G341">
        <v>0</v>
      </c>
      <c r="H341">
        <v>2622</v>
      </c>
      <c r="I341">
        <v>7.2291999999999996</v>
      </c>
      <c r="K341" t="s">
        <v>35</v>
      </c>
      <c r="L341">
        <v>1</v>
      </c>
    </row>
    <row r="342" spans="1:12" x14ac:dyDescent="0.3">
      <c r="A342">
        <v>1232</v>
      </c>
      <c r="B342">
        <v>2</v>
      </c>
      <c r="C342" t="s">
        <v>512</v>
      </c>
      <c r="D342" t="s">
        <v>23</v>
      </c>
      <c r="E342">
        <v>18</v>
      </c>
      <c r="F342">
        <v>0</v>
      </c>
      <c r="G342">
        <v>0</v>
      </c>
      <c r="H342" t="s">
        <v>513</v>
      </c>
      <c r="I342">
        <v>10.5</v>
      </c>
      <c r="K342" t="s">
        <v>27</v>
      </c>
      <c r="L342">
        <v>0</v>
      </c>
    </row>
    <row r="343" spans="1:12" x14ac:dyDescent="0.3">
      <c r="A343">
        <v>1233</v>
      </c>
      <c r="B343">
        <v>3</v>
      </c>
      <c r="C343" t="s">
        <v>514</v>
      </c>
      <c r="D343" t="s">
        <v>23</v>
      </c>
      <c r="E343">
        <v>32</v>
      </c>
      <c r="F343">
        <v>0</v>
      </c>
      <c r="G343">
        <v>0</v>
      </c>
      <c r="H343">
        <v>350403</v>
      </c>
      <c r="I343">
        <v>7.5792000000000002</v>
      </c>
      <c r="K343" t="s">
        <v>27</v>
      </c>
      <c r="L343">
        <v>0</v>
      </c>
    </row>
    <row r="344" spans="1:12" x14ac:dyDescent="0.3">
      <c r="A344">
        <v>1234</v>
      </c>
      <c r="B344">
        <v>3</v>
      </c>
      <c r="C344" t="s">
        <v>515</v>
      </c>
      <c r="D344" t="s">
        <v>23</v>
      </c>
      <c r="F344">
        <v>1</v>
      </c>
      <c r="G344">
        <v>9</v>
      </c>
      <c r="H344" t="s">
        <v>301</v>
      </c>
      <c r="I344">
        <v>69.55</v>
      </c>
      <c r="K344" t="s">
        <v>27</v>
      </c>
      <c r="L344">
        <v>0</v>
      </c>
    </row>
    <row r="345" spans="1:12" x14ac:dyDescent="0.3">
      <c r="A345">
        <v>1235</v>
      </c>
      <c r="B345">
        <v>1</v>
      </c>
      <c r="C345" t="s">
        <v>516</v>
      </c>
      <c r="D345" t="s">
        <v>26</v>
      </c>
      <c r="E345">
        <v>58</v>
      </c>
      <c r="F345">
        <v>0</v>
      </c>
      <c r="G345">
        <v>1</v>
      </c>
      <c r="H345" t="s">
        <v>517</v>
      </c>
      <c r="I345">
        <v>512.32920000000001</v>
      </c>
      <c r="J345" t="s">
        <v>518</v>
      </c>
      <c r="K345" t="s">
        <v>35</v>
      </c>
      <c r="L345">
        <v>1</v>
      </c>
    </row>
    <row r="346" spans="1:12" x14ac:dyDescent="0.3">
      <c r="A346">
        <v>1236</v>
      </c>
      <c r="B346">
        <v>3</v>
      </c>
      <c r="C346" t="s">
        <v>519</v>
      </c>
      <c r="D346" t="s">
        <v>23</v>
      </c>
      <c r="F346">
        <v>1</v>
      </c>
      <c r="G346">
        <v>1</v>
      </c>
      <c r="H346" t="s">
        <v>306</v>
      </c>
      <c r="I346">
        <v>14.5</v>
      </c>
      <c r="K346" t="s">
        <v>27</v>
      </c>
      <c r="L346">
        <v>1</v>
      </c>
    </row>
    <row r="347" spans="1:12" x14ac:dyDescent="0.3">
      <c r="A347">
        <v>1237</v>
      </c>
      <c r="B347">
        <v>3</v>
      </c>
      <c r="C347" t="s">
        <v>520</v>
      </c>
      <c r="D347" t="s">
        <v>26</v>
      </c>
      <c r="E347">
        <v>16</v>
      </c>
      <c r="F347">
        <v>0</v>
      </c>
      <c r="G347">
        <v>0</v>
      </c>
      <c r="H347">
        <v>348125</v>
      </c>
      <c r="I347">
        <v>7.65</v>
      </c>
      <c r="K347" t="s">
        <v>27</v>
      </c>
      <c r="L347">
        <v>1</v>
      </c>
    </row>
    <row r="348" spans="1:12" x14ac:dyDescent="0.3">
      <c r="A348">
        <v>1238</v>
      </c>
      <c r="B348">
        <v>2</v>
      </c>
      <c r="C348" t="s">
        <v>521</v>
      </c>
      <c r="D348" t="s">
        <v>23</v>
      </c>
      <c r="E348">
        <v>26</v>
      </c>
      <c r="F348">
        <v>0</v>
      </c>
      <c r="G348">
        <v>0</v>
      </c>
      <c r="H348">
        <v>237670</v>
      </c>
      <c r="I348">
        <v>13</v>
      </c>
      <c r="K348" t="s">
        <v>27</v>
      </c>
      <c r="L348">
        <v>0</v>
      </c>
    </row>
    <row r="349" spans="1:12" x14ac:dyDescent="0.3">
      <c r="A349">
        <v>1239</v>
      </c>
      <c r="B349">
        <v>3</v>
      </c>
      <c r="C349" t="s">
        <v>522</v>
      </c>
      <c r="D349" t="s">
        <v>26</v>
      </c>
      <c r="E349">
        <v>38</v>
      </c>
      <c r="F349">
        <v>0</v>
      </c>
      <c r="G349">
        <v>0</v>
      </c>
      <c r="H349">
        <v>2688</v>
      </c>
      <c r="I349">
        <v>7.2291999999999996</v>
      </c>
      <c r="K349" t="s">
        <v>35</v>
      </c>
      <c r="L349">
        <v>1</v>
      </c>
    </row>
    <row r="350" spans="1:12" x14ac:dyDescent="0.3">
      <c r="A350">
        <v>1240</v>
      </c>
      <c r="B350">
        <v>2</v>
      </c>
      <c r="C350" t="s">
        <v>523</v>
      </c>
      <c r="D350" t="s">
        <v>23</v>
      </c>
      <c r="E350">
        <v>24</v>
      </c>
      <c r="F350">
        <v>0</v>
      </c>
      <c r="G350">
        <v>0</v>
      </c>
      <c r="H350">
        <v>248726</v>
      </c>
      <c r="I350">
        <v>13.5</v>
      </c>
      <c r="K350" t="s">
        <v>27</v>
      </c>
      <c r="L350">
        <v>0</v>
      </c>
    </row>
    <row r="351" spans="1:12" x14ac:dyDescent="0.3">
      <c r="A351">
        <v>1241</v>
      </c>
      <c r="B351">
        <v>2</v>
      </c>
      <c r="C351" t="s">
        <v>524</v>
      </c>
      <c r="D351" t="s">
        <v>26</v>
      </c>
      <c r="E351">
        <v>31</v>
      </c>
      <c r="F351">
        <v>0</v>
      </c>
      <c r="G351">
        <v>0</v>
      </c>
      <c r="H351" t="s">
        <v>525</v>
      </c>
      <c r="I351">
        <v>21</v>
      </c>
      <c r="K351" t="s">
        <v>27</v>
      </c>
      <c r="L351">
        <v>1</v>
      </c>
    </row>
    <row r="352" spans="1:12" x14ac:dyDescent="0.3">
      <c r="A352">
        <v>1242</v>
      </c>
      <c r="B352">
        <v>1</v>
      </c>
      <c r="C352" t="s">
        <v>526</v>
      </c>
      <c r="D352" t="s">
        <v>26</v>
      </c>
      <c r="E352">
        <v>45</v>
      </c>
      <c r="F352">
        <v>0</v>
      </c>
      <c r="G352">
        <v>1</v>
      </c>
      <c r="H352" t="s">
        <v>527</v>
      </c>
      <c r="I352">
        <v>63.3583</v>
      </c>
      <c r="J352" t="s">
        <v>528</v>
      </c>
      <c r="K352" t="s">
        <v>35</v>
      </c>
      <c r="L352">
        <v>1</v>
      </c>
    </row>
    <row r="353" spans="1:12" x14ac:dyDescent="0.3">
      <c r="A353">
        <v>1243</v>
      </c>
      <c r="B353">
        <v>2</v>
      </c>
      <c r="C353" t="s">
        <v>529</v>
      </c>
      <c r="D353" t="s">
        <v>23</v>
      </c>
      <c r="E353">
        <v>25</v>
      </c>
      <c r="F353">
        <v>0</v>
      </c>
      <c r="G353">
        <v>0</v>
      </c>
      <c r="H353" t="s">
        <v>530</v>
      </c>
      <c r="I353">
        <v>10.5</v>
      </c>
      <c r="K353" t="s">
        <v>27</v>
      </c>
      <c r="L353">
        <v>0</v>
      </c>
    </row>
    <row r="354" spans="1:12" x14ac:dyDescent="0.3">
      <c r="A354">
        <v>1244</v>
      </c>
      <c r="B354">
        <v>2</v>
      </c>
      <c r="C354" t="s">
        <v>531</v>
      </c>
      <c r="D354" t="s">
        <v>23</v>
      </c>
      <c r="E354">
        <v>18</v>
      </c>
      <c r="F354">
        <v>0</v>
      </c>
      <c r="G354">
        <v>0</v>
      </c>
      <c r="H354" t="s">
        <v>336</v>
      </c>
      <c r="I354">
        <v>73.5</v>
      </c>
      <c r="K354" t="s">
        <v>27</v>
      </c>
      <c r="L354">
        <v>0</v>
      </c>
    </row>
    <row r="355" spans="1:12" x14ac:dyDescent="0.3">
      <c r="A355">
        <v>1245</v>
      </c>
      <c r="B355">
        <v>2</v>
      </c>
      <c r="C355" t="s">
        <v>532</v>
      </c>
      <c r="D355" t="s">
        <v>23</v>
      </c>
      <c r="E355">
        <v>49</v>
      </c>
      <c r="F355">
        <v>1</v>
      </c>
      <c r="G355">
        <v>2</v>
      </c>
      <c r="H355">
        <v>220845</v>
      </c>
      <c r="I355">
        <v>65</v>
      </c>
      <c r="K355" t="s">
        <v>27</v>
      </c>
      <c r="L355">
        <v>0</v>
      </c>
    </row>
    <row r="356" spans="1:12" x14ac:dyDescent="0.3">
      <c r="A356">
        <v>1246</v>
      </c>
      <c r="B356">
        <v>3</v>
      </c>
      <c r="C356" t="s">
        <v>533</v>
      </c>
      <c r="D356" t="s">
        <v>26</v>
      </c>
      <c r="E356">
        <v>0.17</v>
      </c>
      <c r="F356">
        <v>1</v>
      </c>
      <c r="G356">
        <v>2</v>
      </c>
      <c r="H356" t="s">
        <v>77</v>
      </c>
      <c r="I356">
        <v>20.574999999999999</v>
      </c>
      <c r="K356" t="s">
        <v>27</v>
      </c>
      <c r="L356">
        <v>0</v>
      </c>
    </row>
    <row r="357" spans="1:12" x14ac:dyDescent="0.3">
      <c r="A357">
        <v>1247</v>
      </c>
      <c r="B357">
        <v>1</v>
      </c>
      <c r="C357" t="s">
        <v>534</v>
      </c>
      <c r="D357" t="s">
        <v>23</v>
      </c>
      <c r="E357">
        <v>50</v>
      </c>
      <c r="F357">
        <v>0</v>
      </c>
      <c r="G357">
        <v>0</v>
      </c>
      <c r="H357">
        <v>113044</v>
      </c>
      <c r="I357">
        <v>26</v>
      </c>
      <c r="J357" t="s">
        <v>535</v>
      </c>
      <c r="K357" t="s">
        <v>27</v>
      </c>
      <c r="L357">
        <v>0</v>
      </c>
    </row>
    <row r="358" spans="1:12" x14ac:dyDescent="0.3">
      <c r="A358">
        <v>1248</v>
      </c>
      <c r="B358">
        <v>1</v>
      </c>
      <c r="C358" t="s">
        <v>536</v>
      </c>
      <c r="D358" t="s">
        <v>26</v>
      </c>
      <c r="E358">
        <v>59</v>
      </c>
      <c r="F358">
        <v>2</v>
      </c>
      <c r="G358">
        <v>0</v>
      </c>
      <c r="H358">
        <v>11769</v>
      </c>
      <c r="I358">
        <v>51.479199999999999</v>
      </c>
      <c r="J358" t="s">
        <v>145</v>
      </c>
      <c r="K358" t="s">
        <v>27</v>
      </c>
      <c r="L358">
        <v>1</v>
      </c>
    </row>
    <row r="359" spans="1:12" x14ac:dyDescent="0.3">
      <c r="A359">
        <v>1249</v>
      </c>
      <c r="B359">
        <v>3</v>
      </c>
      <c r="C359" t="s">
        <v>537</v>
      </c>
      <c r="D359" t="s">
        <v>23</v>
      </c>
      <c r="F359">
        <v>0</v>
      </c>
      <c r="G359">
        <v>0</v>
      </c>
      <c r="H359">
        <v>1222</v>
      </c>
      <c r="I359">
        <v>7.8792</v>
      </c>
      <c r="K359" t="s">
        <v>27</v>
      </c>
      <c r="L359">
        <v>0</v>
      </c>
    </row>
    <row r="360" spans="1:12" x14ac:dyDescent="0.3">
      <c r="A360">
        <v>1250</v>
      </c>
      <c r="B360">
        <v>3</v>
      </c>
      <c r="C360" t="s">
        <v>538</v>
      </c>
      <c r="D360" t="s">
        <v>23</v>
      </c>
      <c r="F360">
        <v>0</v>
      </c>
      <c r="G360">
        <v>0</v>
      </c>
      <c r="H360">
        <v>368402</v>
      </c>
      <c r="I360">
        <v>7.75</v>
      </c>
      <c r="K360" t="s">
        <v>24</v>
      </c>
      <c r="L360">
        <v>0</v>
      </c>
    </row>
    <row r="361" spans="1:12" x14ac:dyDescent="0.3">
      <c r="A361">
        <v>1251</v>
      </c>
      <c r="B361">
        <v>3</v>
      </c>
      <c r="C361" t="s">
        <v>539</v>
      </c>
      <c r="D361" t="s">
        <v>26</v>
      </c>
      <c r="E361">
        <v>30</v>
      </c>
      <c r="F361">
        <v>1</v>
      </c>
      <c r="G361">
        <v>0</v>
      </c>
      <c r="H361">
        <v>349910</v>
      </c>
      <c r="I361">
        <v>15.55</v>
      </c>
      <c r="K361" t="s">
        <v>27</v>
      </c>
      <c r="L361">
        <v>1</v>
      </c>
    </row>
    <row r="362" spans="1:12" x14ac:dyDescent="0.3">
      <c r="A362">
        <v>1252</v>
      </c>
      <c r="B362">
        <v>3</v>
      </c>
      <c r="C362" t="s">
        <v>540</v>
      </c>
      <c r="D362" t="s">
        <v>23</v>
      </c>
      <c r="E362">
        <v>14.5</v>
      </c>
      <c r="F362">
        <v>8</v>
      </c>
      <c r="G362">
        <v>2</v>
      </c>
      <c r="H362" t="s">
        <v>301</v>
      </c>
      <c r="I362">
        <v>69.55</v>
      </c>
      <c r="K362" t="s">
        <v>27</v>
      </c>
      <c r="L362">
        <v>0</v>
      </c>
    </row>
    <row r="363" spans="1:12" x14ac:dyDescent="0.3">
      <c r="A363">
        <v>1253</v>
      </c>
      <c r="B363">
        <v>2</v>
      </c>
      <c r="C363" t="s">
        <v>541</v>
      </c>
      <c r="D363" t="s">
        <v>26</v>
      </c>
      <c r="E363">
        <v>24</v>
      </c>
      <c r="F363">
        <v>1</v>
      </c>
      <c r="G363">
        <v>1</v>
      </c>
      <c r="H363" t="s">
        <v>542</v>
      </c>
      <c r="I363">
        <v>37.004199999999997</v>
      </c>
      <c r="K363" t="s">
        <v>35</v>
      </c>
      <c r="L363">
        <v>1</v>
      </c>
    </row>
    <row r="364" spans="1:12" x14ac:dyDescent="0.3">
      <c r="A364">
        <v>1254</v>
      </c>
      <c r="B364">
        <v>2</v>
      </c>
      <c r="C364" t="s">
        <v>543</v>
      </c>
      <c r="D364" t="s">
        <v>26</v>
      </c>
      <c r="E364">
        <v>31</v>
      </c>
      <c r="F364">
        <v>0</v>
      </c>
      <c r="G364">
        <v>0</v>
      </c>
      <c r="H364" t="s">
        <v>425</v>
      </c>
      <c r="I364">
        <v>21</v>
      </c>
      <c r="K364" t="s">
        <v>27</v>
      </c>
      <c r="L364">
        <v>1</v>
      </c>
    </row>
    <row r="365" spans="1:12" x14ac:dyDescent="0.3">
      <c r="A365">
        <v>1255</v>
      </c>
      <c r="B365">
        <v>3</v>
      </c>
      <c r="C365" t="s">
        <v>544</v>
      </c>
      <c r="D365" t="s">
        <v>23</v>
      </c>
      <c r="E365">
        <v>27</v>
      </c>
      <c r="F365">
        <v>0</v>
      </c>
      <c r="G365">
        <v>0</v>
      </c>
      <c r="H365">
        <v>315083</v>
      </c>
      <c r="I365">
        <v>8.6624999999999996</v>
      </c>
      <c r="K365" t="s">
        <v>27</v>
      </c>
      <c r="L365">
        <v>0</v>
      </c>
    </row>
    <row r="366" spans="1:12" x14ac:dyDescent="0.3">
      <c r="A366">
        <v>1256</v>
      </c>
      <c r="B366">
        <v>1</v>
      </c>
      <c r="C366" t="s">
        <v>545</v>
      </c>
      <c r="D366" t="s">
        <v>26</v>
      </c>
      <c r="E366">
        <v>25</v>
      </c>
      <c r="F366">
        <v>1</v>
      </c>
      <c r="G366">
        <v>0</v>
      </c>
      <c r="H366">
        <v>11765</v>
      </c>
      <c r="I366">
        <v>55.441699999999997</v>
      </c>
      <c r="J366" t="s">
        <v>546</v>
      </c>
      <c r="K366" t="s">
        <v>35</v>
      </c>
      <c r="L366">
        <v>1</v>
      </c>
    </row>
    <row r="367" spans="1:12" x14ac:dyDescent="0.3">
      <c r="A367">
        <v>1257</v>
      </c>
      <c r="B367">
        <v>3</v>
      </c>
      <c r="C367" t="s">
        <v>547</v>
      </c>
      <c r="D367" t="s">
        <v>26</v>
      </c>
      <c r="F367">
        <v>1</v>
      </c>
      <c r="G367">
        <v>9</v>
      </c>
      <c r="H367" t="s">
        <v>301</v>
      </c>
      <c r="I367">
        <v>69.55</v>
      </c>
      <c r="K367" t="s">
        <v>27</v>
      </c>
      <c r="L367">
        <v>0</v>
      </c>
    </row>
    <row r="368" spans="1:12" x14ac:dyDescent="0.3">
      <c r="A368">
        <v>1258</v>
      </c>
      <c r="B368">
        <v>3</v>
      </c>
      <c r="C368" t="s">
        <v>548</v>
      </c>
      <c r="D368" t="s">
        <v>23</v>
      </c>
      <c r="F368">
        <v>1</v>
      </c>
      <c r="G368">
        <v>0</v>
      </c>
      <c r="H368">
        <v>2689</v>
      </c>
      <c r="I368">
        <v>14.458299999999999</v>
      </c>
      <c r="K368" t="s">
        <v>35</v>
      </c>
      <c r="L368">
        <v>0</v>
      </c>
    </row>
    <row r="369" spans="1:12" x14ac:dyDescent="0.3">
      <c r="A369">
        <v>1259</v>
      </c>
      <c r="B369">
        <v>3</v>
      </c>
      <c r="C369" t="s">
        <v>549</v>
      </c>
      <c r="D369" t="s">
        <v>26</v>
      </c>
      <c r="E369">
        <v>22</v>
      </c>
      <c r="F369">
        <v>0</v>
      </c>
      <c r="G369">
        <v>0</v>
      </c>
      <c r="H369">
        <v>3101295</v>
      </c>
      <c r="I369">
        <v>39.6875</v>
      </c>
      <c r="K369" t="s">
        <v>27</v>
      </c>
      <c r="L369">
        <v>1</v>
      </c>
    </row>
    <row r="370" spans="1:12" x14ac:dyDescent="0.3">
      <c r="A370">
        <v>1260</v>
      </c>
      <c r="B370">
        <v>1</v>
      </c>
      <c r="C370" t="s">
        <v>550</v>
      </c>
      <c r="D370" t="s">
        <v>26</v>
      </c>
      <c r="E370">
        <v>45</v>
      </c>
      <c r="F370">
        <v>0</v>
      </c>
      <c r="G370">
        <v>1</v>
      </c>
      <c r="H370">
        <v>112378</v>
      </c>
      <c r="I370">
        <v>59.4</v>
      </c>
      <c r="K370" t="s">
        <v>35</v>
      </c>
      <c r="L370">
        <v>1</v>
      </c>
    </row>
    <row r="371" spans="1:12" x14ac:dyDescent="0.3">
      <c r="A371">
        <v>1261</v>
      </c>
      <c r="B371">
        <v>2</v>
      </c>
      <c r="C371" t="s">
        <v>551</v>
      </c>
      <c r="D371" t="s">
        <v>23</v>
      </c>
      <c r="E371">
        <v>29</v>
      </c>
      <c r="F371">
        <v>0</v>
      </c>
      <c r="G371">
        <v>0</v>
      </c>
      <c r="H371" t="s">
        <v>552</v>
      </c>
      <c r="I371">
        <v>13.8583</v>
      </c>
      <c r="K371" t="s">
        <v>35</v>
      </c>
      <c r="L371">
        <v>0</v>
      </c>
    </row>
    <row r="372" spans="1:12" x14ac:dyDescent="0.3">
      <c r="A372">
        <v>1262</v>
      </c>
      <c r="B372">
        <v>2</v>
      </c>
      <c r="C372" t="s">
        <v>553</v>
      </c>
      <c r="D372" t="s">
        <v>23</v>
      </c>
      <c r="E372">
        <v>21</v>
      </c>
      <c r="F372">
        <v>1</v>
      </c>
      <c r="G372">
        <v>0</v>
      </c>
      <c r="H372">
        <v>28133</v>
      </c>
      <c r="I372">
        <v>11.5</v>
      </c>
      <c r="K372" t="s">
        <v>27</v>
      </c>
      <c r="L372">
        <v>0</v>
      </c>
    </row>
    <row r="373" spans="1:12" x14ac:dyDescent="0.3">
      <c r="A373">
        <v>1263</v>
      </c>
      <c r="B373">
        <v>1</v>
      </c>
      <c r="C373" t="s">
        <v>554</v>
      </c>
      <c r="D373" t="s">
        <v>26</v>
      </c>
      <c r="E373">
        <v>31</v>
      </c>
      <c r="F373">
        <v>0</v>
      </c>
      <c r="G373">
        <v>0</v>
      </c>
      <c r="H373">
        <v>16966</v>
      </c>
      <c r="I373">
        <v>134.5</v>
      </c>
      <c r="J373" t="s">
        <v>555</v>
      </c>
      <c r="K373" t="s">
        <v>35</v>
      </c>
      <c r="L373">
        <v>1</v>
      </c>
    </row>
    <row r="374" spans="1:12" x14ac:dyDescent="0.3">
      <c r="A374">
        <v>1264</v>
      </c>
      <c r="B374">
        <v>1</v>
      </c>
      <c r="C374" t="s">
        <v>556</v>
      </c>
      <c r="D374" t="s">
        <v>23</v>
      </c>
      <c r="E374">
        <v>49</v>
      </c>
      <c r="F374">
        <v>0</v>
      </c>
      <c r="G374">
        <v>0</v>
      </c>
      <c r="H374">
        <v>112058</v>
      </c>
      <c r="I374">
        <v>0</v>
      </c>
      <c r="J374" t="s">
        <v>557</v>
      </c>
      <c r="K374" t="s">
        <v>27</v>
      </c>
      <c r="L374">
        <v>0</v>
      </c>
    </row>
    <row r="375" spans="1:12" x14ac:dyDescent="0.3">
      <c r="A375">
        <v>1265</v>
      </c>
      <c r="B375">
        <v>2</v>
      </c>
      <c r="C375" t="s">
        <v>558</v>
      </c>
      <c r="D375" t="s">
        <v>23</v>
      </c>
      <c r="E375">
        <v>44</v>
      </c>
      <c r="F375">
        <v>0</v>
      </c>
      <c r="G375">
        <v>0</v>
      </c>
      <c r="H375">
        <v>248746</v>
      </c>
      <c r="I375">
        <v>13</v>
      </c>
      <c r="K375" t="s">
        <v>27</v>
      </c>
      <c r="L375">
        <v>0</v>
      </c>
    </row>
    <row r="376" spans="1:12" x14ac:dyDescent="0.3">
      <c r="A376">
        <v>1266</v>
      </c>
      <c r="B376">
        <v>1</v>
      </c>
      <c r="C376" t="s">
        <v>559</v>
      </c>
      <c r="D376" t="s">
        <v>26</v>
      </c>
      <c r="E376">
        <v>54</v>
      </c>
      <c r="F376">
        <v>1</v>
      </c>
      <c r="G376">
        <v>1</v>
      </c>
      <c r="H376">
        <v>33638</v>
      </c>
      <c r="I376">
        <v>81.8583</v>
      </c>
      <c r="J376" t="s">
        <v>447</v>
      </c>
      <c r="K376" t="s">
        <v>27</v>
      </c>
      <c r="L376">
        <v>1</v>
      </c>
    </row>
    <row r="377" spans="1:12" x14ac:dyDescent="0.3">
      <c r="A377">
        <v>1267</v>
      </c>
      <c r="B377">
        <v>1</v>
      </c>
      <c r="C377" t="s">
        <v>560</v>
      </c>
      <c r="D377" t="s">
        <v>26</v>
      </c>
      <c r="E377">
        <v>45</v>
      </c>
      <c r="F377">
        <v>0</v>
      </c>
      <c r="G377">
        <v>0</v>
      </c>
      <c r="H377" t="s">
        <v>62</v>
      </c>
      <c r="I377">
        <v>262.375</v>
      </c>
      <c r="K377" t="s">
        <v>35</v>
      </c>
      <c r="L377">
        <v>1</v>
      </c>
    </row>
    <row r="378" spans="1:12" x14ac:dyDescent="0.3">
      <c r="A378">
        <v>1268</v>
      </c>
      <c r="B378">
        <v>3</v>
      </c>
      <c r="C378" t="s">
        <v>561</v>
      </c>
      <c r="D378" t="s">
        <v>26</v>
      </c>
      <c r="E378">
        <v>22</v>
      </c>
      <c r="F378">
        <v>2</v>
      </c>
      <c r="G378">
        <v>0</v>
      </c>
      <c r="H378">
        <v>315152</v>
      </c>
      <c r="I378">
        <v>8.6624999999999996</v>
      </c>
      <c r="K378" t="s">
        <v>27</v>
      </c>
      <c r="L378">
        <v>1</v>
      </c>
    </row>
    <row r="379" spans="1:12" x14ac:dyDescent="0.3">
      <c r="A379">
        <v>1269</v>
      </c>
      <c r="B379">
        <v>2</v>
      </c>
      <c r="C379" t="s">
        <v>562</v>
      </c>
      <c r="D379" t="s">
        <v>23</v>
      </c>
      <c r="E379">
        <v>21</v>
      </c>
      <c r="F379">
        <v>0</v>
      </c>
      <c r="G379">
        <v>0</v>
      </c>
      <c r="H379">
        <v>29107</v>
      </c>
      <c r="I379">
        <v>11.5</v>
      </c>
      <c r="K379" t="s">
        <v>27</v>
      </c>
      <c r="L379">
        <v>0</v>
      </c>
    </row>
    <row r="380" spans="1:12" x14ac:dyDescent="0.3">
      <c r="A380">
        <v>1270</v>
      </c>
      <c r="B380">
        <v>1</v>
      </c>
      <c r="C380" t="s">
        <v>563</v>
      </c>
      <c r="D380" t="s">
        <v>23</v>
      </c>
      <c r="E380">
        <v>55</v>
      </c>
      <c r="F380">
        <v>0</v>
      </c>
      <c r="G380">
        <v>0</v>
      </c>
      <c r="H380">
        <v>680</v>
      </c>
      <c r="I380">
        <v>50</v>
      </c>
      <c r="J380" t="s">
        <v>564</v>
      </c>
      <c r="K380" t="s">
        <v>27</v>
      </c>
      <c r="L380">
        <v>0</v>
      </c>
    </row>
    <row r="381" spans="1:12" x14ac:dyDescent="0.3">
      <c r="A381">
        <v>1271</v>
      </c>
      <c r="B381">
        <v>3</v>
      </c>
      <c r="C381" t="s">
        <v>565</v>
      </c>
      <c r="D381" t="s">
        <v>23</v>
      </c>
      <c r="E381">
        <v>5</v>
      </c>
      <c r="F381">
        <v>4</v>
      </c>
      <c r="G381">
        <v>2</v>
      </c>
      <c r="H381">
        <v>347077</v>
      </c>
      <c r="I381">
        <v>31.387499999999999</v>
      </c>
      <c r="K381" t="s">
        <v>27</v>
      </c>
      <c r="L381">
        <v>0</v>
      </c>
    </row>
    <row r="382" spans="1:12" x14ac:dyDescent="0.3">
      <c r="A382">
        <v>1272</v>
      </c>
      <c r="B382">
        <v>3</v>
      </c>
      <c r="C382" t="s">
        <v>566</v>
      </c>
      <c r="D382" t="s">
        <v>23</v>
      </c>
      <c r="F382">
        <v>0</v>
      </c>
      <c r="G382">
        <v>0</v>
      </c>
      <c r="H382">
        <v>366713</v>
      </c>
      <c r="I382">
        <v>7.75</v>
      </c>
      <c r="K382" t="s">
        <v>24</v>
      </c>
      <c r="L382">
        <v>0</v>
      </c>
    </row>
    <row r="383" spans="1:12" x14ac:dyDescent="0.3">
      <c r="A383">
        <v>1273</v>
      </c>
      <c r="B383">
        <v>3</v>
      </c>
      <c r="C383" t="s">
        <v>567</v>
      </c>
      <c r="D383" t="s">
        <v>23</v>
      </c>
      <c r="E383">
        <v>26</v>
      </c>
      <c r="F383">
        <v>0</v>
      </c>
      <c r="G383">
        <v>0</v>
      </c>
      <c r="H383">
        <v>330910</v>
      </c>
      <c r="I383">
        <v>7.8792</v>
      </c>
      <c r="K383" t="s">
        <v>24</v>
      </c>
      <c r="L383">
        <v>0</v>
      </c>
    </row>
    <row r="384" spans="1:12" x14ac:dyDescent="0.3">
      <c r="A384">
        <v>1274</v>
      </c>
      <c r="B384">
        <v>3</v>
      </c>
      <c r="C384" t="s">
        <v>568</v>
      </c>
      <c r="D384" t="s">
        <v>26</v>
      </c>
      <c r="F384">
        <v>0</v>
      </c>
      <c r="G384">
        <v>0</v>
      </c>
      <c r="H384">
        <v>364498</v>
      </c>
      <c r="I384">
        <v>14.5</v>
      </c>
      <c r="K384" t="s">
        <v>27</v>
      </c>
      <c r="L384">
        <v>1</v>
      </c>
    </row>
    <row r="385" spans="1:12" x14ac:dyDescent="0.3">
      <c r="A385">
        <v>1275</v>
      </c>
      <c r="B385">
        <v>3</v>
      </c>
      <c r="C385" t="s">
        <v>569</v>
      </c>
      <c r="D385" t="s">
        <v>26</v>
      </c>
      <c r="E385">
        <v>19</v>
      </c>
      <c r="F385">
        <v>1</v>
      </c>
      <c r="G385">
        <v>0</v>
      </c>
      <c r="H385">
        <v>376566</v>
      </c>
      <c r="I385">
        <v>16.100000000000001</v>
      </c>
      <c r="K385" t="s">
        <v>27</v>
      </c>
      <c r="L385">
        <v>1</v>
      </c>
    </row>
    <row r="386" spans="1:12" x14ac:dyDescent="0.3">
      <c r="A386">
        <v>1276</v>
      </c>
      <c r="B386">
        <v>2</v>
      </c>
      <c r="C386" t="s">
        <v>570</v>
      </c>
      <c r="D386" t="s">
        <v>23</v>
      </c>
      <c r="F386">
        <v>0</v>
      </c>
      <c r="G386">
        <v>0</v>
      </c>
      <c r="H386" t="s">
        <v>571</v>
      </c>
      <c r="I386">
        <v>12.875</v>
      </c>
      <c r="K386" t="s">
        <v>27</v>
      </c>
      <c r="L386">
        <v>0</v>
      </c>
    </row>
    <row r="387" spans="1:12" x14ac:dyDescent="0.3">
      <c r="A387">
        <v>1277</v>
      </c>
      <c r="B387">
        <v>2</v>
      </c>
      <c r="C387" t="s">
        <v>572</v>
      </c>
      <c r="D387" t="s">
        <v>26</v>
      </c>
      <c r="E387">
        <v>24</v>
      </c>
      <c r="F387">
        <v>1</v>
      </c>
      <c r="G387">
        <v>2</v>
      </c>
      <c r="H387">
        <v>220845</v>
      </c>
      <c r="I387">
        <v>65</v>
      </c>
      <c r="K387" t="s">
        <v>27</v>
      </c>
      <c r="L387">
        <v>1</v>
      </c>
    </row>
    <row r="388" spans="1:12" x14ac:dyDescent="0.3">
      <c r="A388">
        <v>1278</v>
      </c>
      <c r="B388">
        <v>3</v>
      </c>
      <c r="C388" t="s">
        <v>573</v>
      </c>
      <c r="D388" t="s">
        <v>23</v>
      </c>
      <c r="E388">
        <v>24</v>
      </c>
      <c r="F388">
        <v>0</v>
      </c>
      <c r="G388">
        <v>0</v>
      </c>
      <c r="H388">
        <v>349911</v>
      </c>
      <c r="I388">
        <v>7.7750000000000004</v>
      </c>
      <c r="K388" t="s">
        <v>27</v>
      </c>
      <c r="L388">
        <v>0</v>
      </c>
    </row>
    <row r="389" spans="1:12" x14ac:dyDescent="0.3">
      <c r="A389">
        <v>1279</v>
      </c>
      <c r="B389">
        <v>2</v>
      </c>
      <c r="C389" t="s">
        <v>574</v>
      </c>
      <c r="D389" t="s">
        <v>23</v>
      </c>
      <c r="E389">
        <v>57</v>
      </c>
      <c r="F389">
        <v>0</v>
      </c>
      <c r="G389">
        <v>0</v>
      </c>
      <c r="H389">
        <v>244346</v>
      </c>
      <c r="I389">
        <v>13</v>
      </c>
      <c r="K389" t="s">
        <v>27</v>
      </c>
      <c r="L389">
        <v>0</v>
      </c>
    </row>
    <row r="390" spans="1:12" x14ac:dyDescent="0.3">
      <c r="A390">
        <v>1280</v>
      </c>
      <c r="B390">
        <v>3</v>
      </c>
      <c r="C390" t="s">
        <v>575</v>
      </c>
      <c r="D390" t="s">
        <v>23</v>
      </c>
      <c r="E390">
        <v>21</v>
      </c>
      <c r="F390">
        <v>0</v>
      </c>
      <c r="G390">
        <v>0</v>
      </c>
      <c r="H390">
        <v>364858</v>
      </c>
      <c r="I390">
        <v>7.75</v>
      </c>
      <c r="K390" t="s">
        <v>24</v>
      </c>
      <c r="L390">
        <v>0</v>
      </c>
    </row>
    <row r="391" spans="1:12" x14ac:dyDescent="0.3">
      <c r="A391">
        <v>1281</v>
      </c>
      <c r="B391">
        <v>3</v>
      </c>
      <c r="C391" t="s">
        <v>576</v>
      </c>
      <c r="D391" t="s">
        <v>23</v>
      </c>
      <c r="E391">
        <v>6</v>
      </c>
      <c r="F391">
        <v>3</v>
      </c>
      <c r="G391">
        <v>1</v>
      </c>
      <c r="H391">
        <v>349909</v>
      </c>
      <c r="I391">
        <v>21.074999999999999</v>
      </c>
      <c r="K391" t="s">
        <v>27</v>
      </c>
      <c r="L391">
        <v>0</v>
      </c>
    </row>
    <row r="392" spans="1:12" x14ac:dyDescent="0.3">
      <c r="A392">
        <v>1282</v>
      </c>
      <c r="B392">
        <v>1</v>
      </c>
      <c r="C392" t="s">
        <v>577</v>
      </c>
      <c r="D392" t="s">
        <v>23</v>
      </c>
      <c r="E392">
        <v>23</v>
      </c>
      <c r="F392">
        <v>0</v>
      </c>
      <c r="G392">
        <v>0</v>
      </c>
      <c r="H392">
        <v>12749</v>
      </c>
      <c r="I392">
        <v>93.5</v>
      </c>
      <c r="J392" t="s">
        <v>578</v>
      </c>
      <c r="K392" t="s">
        <v>27</v>
      </c>
      <c r="L392">
        <v>0</v>
      </c>
    </row>
    <row r="393" spans="1:12" x14ac:dyDescent="0.3">
      <c r="A393">
        <v>1283</v>
      </c>
      <c r="B393">
        <v>1</v>
      </c>
      <c r="C393" t="s">
        <v>579</v>
      </c>
      <c r="D393" t="s">
        <v>26</v>
      </c>
      <c r="E393">
        <v>51</v>
      </c>
      <c r="F393">
        <v>0</v>
      </c>
      <c r="G393">
        <v>1</v>
      </c>
      <c r="H393" t="s">
        <v>580</v>
      </c>
      <c r="I393">
        <v>39.4</v>
      </c>
      <c r="J393" t="s">
        <v>581</v>
      </c>
      <c r="K393" t="s">
        <v>27</v>
      </c>
      <c r="L393">
        <v>1</v>
      </c>
    </row>
    <row r="394" spans="1:12" x14ac:dyDescent="0.3">
      <c r="A394">
        <v>1284</v>
      </c>
      <c r="B394">
        <v>3</v>
      </c>
      <c r="C394" t="s">
        <v>582</v>
      </c>
      <c r="D394" t="s">
        <v>23</v>
      </c>
      <c r="E394">
        <v>13</v>
      </c>
      <c r="F394">
        <v>0</v>
      </c>
      <c r="G394">
        <v>2</v>
      </c>
      <c r="H394" t="s">
        <v>583</v>
      </c>
      <c r="I394">
        <v>20.25</v>
      </c>
      <c r="K394" t="s">
        <v>27</v>
      </c>
      <c r="L394">
        <v>1</v>
      </c>
    </row>
    <row r="395" spans="1:12" x14ac:dyDescent="0.3">
      <c r="A395">
        <v>1285</v>
      </c>
      <c r="B395">
        <v>2</v>
      </c>
      <c r="C395" t="s">
        <v>584</v>
      </c>
      <c r="D395" t="s">
        <v>23</v>
      </c>
      <c r="E395">
        <v>47</v>
      </c>
      <c r="F395">
        <v>0</v>
      </c>
      <c r="G395">
        <v>0</v>
      </c>
      <c r="H395" t="s">
        <v>585</v>
      </c>
      <c r="I395">
        <v>10.5</v>
      </c>
      <c r="K395" t="s">
        <v>27</v>
      </c>
      <c r="L395">
        <v>0</v>
      </c>
    </row>
    <row r="396" spans="1:12" x14ac:dyDescent="0.3">
      <c r="A396">
        <v>1286</v>
      </c>
      <c r="B396">
        <v>3</v>
      </c>
      <c r="C396" t="s">
        <v>586</v>
      </c>
      <c r="D396" t="s">
        <v>23</v>
      </c>
      <c r="E396">
        <v>29</v>
      </c>
      <c r="F396">
        <v>3</v>
      </c>
      <c r="G396">
        <v>1</v>
      </c>
      <c r="H396">
        <v>315153</v>
      </c>
      <c r="I396">
        <v>22.024999999999999</v>
      </c>
      <c r="K396" t="s">
        <v>27</v>
      </c>
      <c r="L396">
        <v>0</v>
      </c>
    </row>
    <row r="397" spans="1:12" x14ac:dyDescent="0.3">
      <c r="A397">
        <v>1287</v>
      </c>
      <c r="B397">
        <v>1</v>
      </c>
      <c r="C397" t="s">
        <v>587</v>
      </c>
      <c r="D397" t="s">
        <v>26</v>
      </c>
      <c r="E397">
        <v>18</v>
      </c>
      <c r="F397">
        <v>1</v>
      </c>
      <c r="G397">
        <v>0</v>
      </c>
      <c r="H397">
        <v>13695</v>
      </c>
      <c r="I397">
        <v>60</v>
      </c>
      <c r="J397" t="s">
        <v>106</v>
      </c>
      <c r="K397" t="s">
        <v>27</v>
      </c>
      <c r="L397">
        <v>1</v>
      </c>
    </row>
    <row r="398" spans="1:12" x14ac:dyDescent="0.3">
      <c r="A398">
        <v>1288</v>
      </c>
      <c r="B398">
        <v>3</v>
      </c>
      <c r="C398" t="s">
        <v>588</v>
      </c>
      <c r="D398" t="s">
        <v>23</v>
      </c>
      <c r="E398">
        <v>24</v>
      </c>
      <c r="F398">
        <v>0</v>
      </c>
      <c r="G398">
        <v>0</v>
      </c>
      <c r="H398">
        <v>371109</v>
      </c>
      <c r="I398">
        <v>7.25</v>
      </c>
      <c r="K398" t="s">
        <v>24</v>
      </c>
      <c r="L398">
        <v>0</v>
      </c>
    </row>
    <row r="399" spans="1:12" x14ac:dyDescent="0.3">
      <c r="A399">
        <v>1289</v>
      </c>
      <c r="B399">
        <v>1</v>
      </c>
      <c r="C399" t="s">
        <v>589</v>
      </c>
      <c r="D399" t="s">
        <v>26</v>
      </c>
      <c r="E399">
        <v>48</v>
      </c>
      <c r="F399">
        <v>1</v>
      </c>
      <c r="G399">
        <v>1</v>
      </c>
      <c r="H399">
        <v>13567</v>
      </c>
      <c r="I399">
        <v>79.2</v>
      </c>
      <c r="J399" t="s">
        <v>590</v>
      </c>
      <c r="K399" t="s">
        <v>35</v>
      </c>
      <c r="L399">
        <v>1</v>
      </c>
    </row>
    <row r="400" spans="1:12" x14ac:dyDescent="0.3">
      <c r="A400">
        <v>1290</v>
      </c>
      <c r="B400">
        <v>3</v>
      </c>
      <c r="C400" t="s">
        <v>591</v>
      </c>
      <c r="D400" t="s">
        <v>23</v>
      </c>
      <c r="E400">
        <v>22</v>
      </c>
      <c r="F400">
        <v>0</v>
      </c>
      <c r="G400">
        <v>0</v>
      </c>
      <c r="H400">
        <v>347065</v>
      </c>
      <c r="I400">
        <v>7.7750000000000004</v>
      </c>
      <c r="K400" t="s">
        <v>27</v>
      </c>
      <c r="L400">
        <v>0</v>
      </c>
    </row>
    <row r="401" spans="1:12" x14ac:dyDescent="0.3">
      <c r="A401">
        <v>1291</v>
      </c>
      <c r="B401">
        <v>3</v>
      </c>
      <c r="C401" t="s">
        <v>592</v>
      </c>
      <c r="D401" t="s">
        <v>23</v>
      </c>
      <c r="E401">
        <v>31</v>
      </c>
      <c r="F401">
        <v>0</v>
      </c>
      <c r="G401">
        <v>0</v>
      </c>
      <c r="H401">
        <v>21332</v>
      </c>
      <c r="I401">
        <v>7.7332999999999998</v>
      </c>
      <c r="K401" t="s">
        <v>24</v>
      </c>
      <c r="L401">
        <v>0</v>
      </c>
    </row>
    <row r="402" spans="1:12" x14ac:dyDescent="0.3">
      <c r="A402">
        <v>1292</v>
      </c>
      <c r="B402">
        <v>1</v>
      </c>
      <c r="C402" t="s">
        <v>593</v>
      </c>
      <c r="D402" t="s">
        <v>26</v>
      </c>
      <c r="E402">
        <v>30</v>
      </c>
      <c r="F402">
        <v>0</v>
      </c>
      <c r="G402">
        <v>0</v>
      </c>
      <c r="H402">
        <v>36928</v>
      </c>
      <c r="I402">
        <v>164.86670000000001</v>
      </c>
      <c r="J402" t="s">
        <v>594</v>
      </c>
      <c r="K402" t="s">
        <v>27</v>
      </c>
      <c r="L402">
        <v>1</v>
      </c>
    </row>
    <row r="403" spans="1:12" x14ac:dyDescent="0.3">
      <c r="A403">
        <v>1293</v>
      </c>
      <c r="B403">
        <v>2</v>
      </c>
      <c r="C403" t="s">
        <v>595</v>
      </c>
      <c r="D403" t="s">
        <v>23</v>
      </c>
      <c r="E403">
        <v>38</v>
      </c>
      <c r="F403">
        <v>1</v>
      </c>
      <c r="G403">
        <v>0</v>
      </c>
      <c r="H403">
        <v>28664</v>
      </c>
      <c r="I403">
        <v>21</v>
      </c>
      <c r="K403" t="s">
        <v>27</v>
      </c>
      <c r="L403">
        <v>0</v>
      </c>
    </row>
    <row r="404" spans="1:12" x14ac:dyDescent="0.3">
      <c r="A404">
        <v>1294</v>
      </c>
      <c r="B404">
        <v>1</v>
      </c>
      <c r="C404" t="s">
        <v>596</v>
      </c>
      <c r="D404" t="s">
        <v>26</v>
      </c>
      <c r="E404">
        <v>22</v>
      </c>
      <c r="F404">
        <v>0</v>
      </c>
      <c r="G404">
        <v>1</v>
      </c>
      <c r="H404">
        <v>112378</v>
      </c>
      <c r="I404">
        <v>59.4</v>
      </c>
      <c r="K404" t="s">
        <v>35</v>
      </c>
      <c r="L404">
        <v>1</v>
      </c>
    </row>
    <row r="405" spans="1:12" x14ac:dyDescent="0.3">
      <c r="A405">
        <v>1295</v>
      </c>
      <c r="B405">
        <v>1</v>
      </c>
      <c r="C405" t="s">
        <v>597</v>
      </c>
      <c r="D405" t="s">
        <v>23</v>
      </c>
      <c r="E405">
        <v>17</v>
      </c>
      <c r="F405">
        <v>0</v>
      </c>
      <c r="G405">
        <v>0</v>
      </c>
      <c r="H405">
        <v>113059</v>
      </c>
      <c r="I405">
        <v>47.1</v>
      </c>
      <c r="K405" t="s">
        <v>27</v>
      </c>
      <c r="L405">
        <v>0</v>
      </c>
    </row>
    <row r="406" spans="1:12" x14ac:dyDescent="0.3">
      <c r="A406">
        <v>1296</v>
      </c>
      <c r="B406">
        <v>1</v>
      </c>
      <c r="C406" t="s">
        <v>598</v>
      </c>
      <c r="D406" t="s">
        <v>23</v>
      </c>
      <c r="E406">
        <v>43</v>
      </c>
      <c r="F406">
        <v>1</v>
      </c>
      <c r="G406">
        <v>0</v>
      </c>
      <c r="H406">
        <v>17765</v>
      </c>
      <c r="I406">
        <v>27.720800000000001</v>
      </c>
      <c r="J406" t="s">
        <v>599</v>
      </c>
      <c r="K406" t="s">
        <v>35</v>
      </c>
      <c r="L406">
        <v>0</v>
      </c>
    </row>
    <row r="407" spans="1:12" x14ac:dyDescent="0.3">
      <c r="A407">
        <v>1297</v>
      </c>
      <c r="B407">
        <v>2</v>
      </c>
      <c r="C407" t="s">
        <v>600</v>
      </c>
      <c r="D407" t="s">
        <v>23</v>
      </c>
      <c r="E407">
        <v>20</v>
      </c>
      <c r="F407">
        <v>0</v>
      </c>
      <c r="G407">
        <v>0</v>
      </c>
      <c r="H407" t="s">
        <v>601</v>
      </c>
      <c r="I407">
        <v>13.862500000000001</v>
      </c>
      <c r="J407" t="s">
        <v>602</v>
      </c>
      <c r="K407" t="s">
        <v>35</v>
      </c>
      <c r="L407">
        <v>0</v>
      </c>
    </row>
    <row r="408" spans="1:12" x14ac:dyDescent="0.3">
      <c r="A408">
        <v>1298</v>
      </c>
      <c r="B408">
        <v>2</v>
      </c>
      <c r="C408" t="s">
        <v>603</v>
      </c>
      <c r="D408" t="s">
        <v>23</v>
      </c>
      <c r="E408">
        <v>23</v>
      </c>
      <c r="F408">
        <v>1</v>
      </c>
      <c r="G408">
        <v>0</v>
      </c>
      <c r="H408">
        <v>28666</v>
      </c>
      <c r="I408">
        <v>10.5</v>
      </c>
      <c r="K408" t="s">
        <v>27</v>
      </c>
      <c r="L408">
        <v>0</v>
      </c>
    </row>
    <row r="409" spans="1:12" x14ac:dyDescent="0.3">
      <c r="A409">
        <v>1299</v>
      </c>
      <c r="B409">
        <v>1</v>
      </c>
      <c r="C409" t="s">
        <v>604</v>
      </c>
      <c r="D409" t="s">
        <v>23</v>
      </c>
      <c r="E409">
        <v>50</v>
      </c>
      <c r="F409">
        <v>1</v>
      </c>
      <c r="G409">
        <v>1</v>
      </c>
      <c r="H409">
        <v>113503</v>
      </c>
      <c r="I409">
        <v>211.5</v>
      </c>
      <c r="J409" t="s">
        <v>344</v>
      </c>
      <c r="K409" t="s">
        <v>35</v>
      </c>
      <c r="L409">
        <v>0</v>
      </c>
    </row>
    <row r="410" spans="1:12" x14ac:dyDescent="0.3">
      <c r="A410">
        <v>1300</v>
      </c>
      <c r="B410">
        <v>3</v>
      </c>
      <c r="C410" t="s">
        <v>605</v>
      </c>
      <c r="D410" t="s">
        <v>26</v>
      </c>
      <c r="F410">
        <v>0</v>
      </c>
      <c r="G410">
        <v>0</v>
      </c>
      <c r="H410">
        <v>334915</v>
      </c>
      <c r="I410">
        <v>7.7207999999999997</v>
      </c>
      <c r="K410" t="s">
        <v>24</v>
      </c>
      <c r="L410">
        <v>1</v>
      </c>
    </row>
    <row r="411" spans="1:12" x14ac:dyDescent="0.3">
      <c r="A411">
        <v>1301</v>
      </c>
      <c r="B411">
        <v>3</v>
      </c>
      <c r="C411" t="s">
        <v>606</v>
      </c>
      <c r="D411" t="s">
        <v>26</v>
      </c>
      <c r="E411">
        <v>3</v>
      </c>
      <c r="F411">
        <v>1</v>
      </c>
      <c r="G411">
        <v>1</v>
      </c>
      <c r="H411" t="s">
        <v>257</v>
      </c>
      <c r="I411">
        <v>13.775</v>
      </c>
      <c r="K411" t="s">
        <v>27</v>
      </c>
      <c r="L411">
        <v>1</v>
      </c>
    </row>
    <row r="412" spans="1:12" x14ac:dyDescent="0.3">
      <c r="A412">
        <v>1302</v>
      </c>
      <c r="B412">
        <v>3</v>
      </c>
      <c r="C412" t="s">
        <v>607</v>
      </c>
      <c r="D412" t="s">
        <v>26</v>
      </c>
      <c r="F412">
        <v>0</v>
      </c>
      <c r="G412">
        <v>0</v>
      </c>
      <c r="H412">
        <v>365237</v>
      </c>
      <c r="I412">
        <v>7.75</v>
      </c>
      <c r="K412" t="s">
        <v>24</v>
      </c>
      <c r="L412">
        <v>1</v>
      </c>
    </row>
    <row r="413" spans="1:12" x14ac:dyDescent="0.3">
      <c r="A413">
        <v>1303</v>
      </c>
      <c r="B413">
        <v>1</v>
      </c>
      <c r="C413" t="s">
        <v>608</v>
      </c>
      <c r="D413" t="s">
        <v>26</v>
      </c>
      <c r="E413">
        <v>37</v>
      </c>
      <c r="F413">
        <v>1</v>
      </c>
      <c r="G413">
        <v>0</v>
      </c>
      <c r="H413">
        <v>19928</v>
      </c>
      <c r="I413">
        <v>90</v>
      </c>
      <c r="J413" t="s">
        <v>81</v>
      </c>
      <c r="K413" t="s">
        <v>24</v>
      </c>
      <c r="L413">
        <v>1</v>
      </c>
    </row>
    <row r="414" spans="1:12" x14ac:dyDescent="0.3">
      <c r="A414">
        <v>1304</v>
      </c>
      <c r="B414">
        <v>3</v>
      </c>
      <c r="C414" t="s">
        <v>609</v>
      </c>
      <c r="D414" t="s">
        <v>26</v>
      </c>
      <c r="E414">
        <v>28</v>
      </c>
      <c r="F414">
        <v>0</v>
      </c>
      <c r="G414">
        <v>0</v>
      </c>
      <c r="H414">
        <v>347086</v>
      </c>
      <c r="I414">
        <v>7.7750000000000004</v>
      </c>
      <c r="K414" t="s">
        <v>27</v>
      </c>
      <c r="L414">
        <v>1</v>
      </c>
    </row>
    <row r="415" spans="1:12" x14ac:dyDescent="0.3">
      <c r="A415">
        <v>1305</v>
      </c>
      <c r="B415">
        <v>3</v>
      </c>
      <c r="C415" t="s">
        <v>610</v>
      </c>
      <c r="D415" t="s">
        <v>23</v>
      </c>
      <c r="F415">
        <v>0</v>
      </c>
      <c r="G415">
        <v>0</v>
      </c>
      <c r="H415" t="s">
        <v>611</v>
      </c>
      <c r="I415">
        <v>8.0500000000000007</v>
      </c>
      <c r="K415" t="s">
        <v>27</v>
      </c>
      <c r="L415">
        <v>0</v>
      </c>
    </row>
    <row r="416" spans="1:12" x14ac:dyDescent="0.3">
      <c r="A416">
        <v>1306</v>
      </c>
      <c r="B416">
        <v>1</v>
      </c>
      <c r="C416" t="s">
        <v>612</v>
      </c>
      <c r="D416" t="s">
        <v>26</v>
      </c>
      <c r="E416">
        <v>39</v>
      </c>
      <c r="F416">
        <v>0</v>
      </c>
      <c r="G416">
        <v>0</v>
      </c>
      <c r="H416" t="s">
        <v>613</v>
      </c>
      <c r="I416">
        <v>108.9</v>
      </c>
      <c r="J416" t="s">
        <v>614</v>
      </c>
      <c r="K416" t="s">
        <v>35</v>
      </c>
      <c r="L416">
        <v>1</v>
      </c>
    </row>
    <row r="417" spans="1:12" x14ac:dyDescent="0.3">
      <c r="A417">
        <v>1307</v>
      </c>
      <c r="B417">
        <v>3</v>
      </c>
      <c r="C417" t="s">
        <v>615</v>
      </c>
      <c r="D417" t="s">
        <v>23</v>
      </c>
      <c r="E417">
        <v>38.5</v>
      </c>
      <c r="F417">
        <v>0</v>
      </c>
      <c r="G417">
        <v>0</v>
      </c>
      <c r="H417" t="s">
        <v>616</v>
      </c>
      <c r="I417">
        <v>7.25</v>
      </c>
      <c r="K417" t="s">
        <v>27</v>
      </c>
      <c r="L417">
        <v>0</v>
      </c>
    </row>
    <row r="418" spans="1:12" x14ac:dyDescent="0.3">
      <c r="A418">
        <v>1308</v>
      </c>
      <c r="B418">
        <v>3</v>
      </c>
      <c r="C418" t="s">
        <v>617</v>
      </c>
      <c r="D418" t="s">
        <v>23</v>
      </c>
      <c r="F418">
        <v>0</v>
      </c>
      <c r="G418">
        <v>0</v>
      </c>
      <c r="H418">
        <v>359309</v>
      </c>
      <c r="I418">
        <v>8.0500000000000007</v>
      </c>
      <c r="K418" t="s">
        <v>27</v>
      </c>
      <c r="L418">
        <v>0</v>
      </c>
    </row>
    <row r="419" spans="1:12" x14ac:dyDescent="0.3">
      <c r="A419">
        <v>1309</v>
      </c>
      <c r="B419">
        <v>3</v>
      </c>
      <c r="C419" t="s">
        <v>618</v>
      </c>
      <c r="D419" t="s">
        <v>23</v>
      </c>
      <c r="F419">
        <v>1</v>
      </c>
      <c r="G419">
        <v>1</v>
      </c>
      <c r="H419">
        <v>2668</v>
      </c>
      <c r="I419">
        <v>22.3583</v>
      </c>
      <c r="K419" t="s">
        <v>35</v>
      </c>
      <c r="L41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</vt:lpstr>
      <vt:lpstr>Titanic Dataset</vt:lpstr>
      <vt:lpstr>Titanic Dataset (Binary only)</vt:lpstr>
      <vt:lpstr>Initial Titanic 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DUMONT</dc:creator>
  <cp:lastModifiedBy>Nicolas DUMONT</cp:lastModifiedBy>
  <dcterms:created xsi:type="dcterms:W3CDTF">2022-09-16T12:04:37Z</dcterms:created>
  <dcterms:modified xsi:type="dcterms:W3CDTF">2022-11-27T17:07:20Z</dcterms:modified>
</cp:coreProperties>
</file>